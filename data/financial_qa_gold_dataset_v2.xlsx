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097c11547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Question_Bank" sheetId="1" r:id="Rdfd3a354151c466b"/>
    <x:sheet xmlns:r="http://schemas.openxmlformats.org/officeDocument/2006/relationships" name="02_Financial_Facts" sheetId="2" r:id="R4b925e743f0a4615"/>
    <x:sheet xmlns:r="http://schemas.openxmlformats.org/officeDocument/2006/relationships" name="03_Question_Type_Definition" sheetId="3" r:id="R4b378aafbec94133"/>
    <x:sheet xmlns:r="http://schemas.openxmlformats.org/officeDocument/2006/relationships" name="04_Validation_Rules" sheetId="4" r:id="R24b4195448a947e1"/>
    <x:sheet xmlns:r="http://schemas.openxmlformats.org/officeDocument/2006/relationships" name="05_Question_Review" sheetId="5" r:id="R68b3334fe72749a5"/>
    <x:sheet xmlns:r="http://schemas.openxmlformats.org/officeDocument/2006/relationships" name="06_Gold_Annotations" sheetId="6" r:id="R444cdc2aa5ff4144"/>
    <x:sheet xmlns:r="http://schemas.openxmlformats.org/officeDocument/2006/relationships" name="07_Validation_Summary" sheetId="7" r:id="R2f47e7be1cf4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General"/>
    <x:numFmt numFmtId="202" formatCode="0.00%"/>
  </x:numFmts>
  <x:fonts count="8">
    <x:font>
      <x:sz val="11"/>
      <x:name val="Carlito"/>
    </x:font>
    <x:font>
      <x:b/>
      <x:sz val="14"/>
      <x:color rgb="FF17365D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4"/>
      <x:color rgb="FF0F3557"/>
      <x:name val="Carlito"/>
    </x:font>
    <x:font>
      <x:sz val="10"/>
      <x:color rgb="FF7F6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5D8C"/>
      </x:patternFill>
    </x:fill>
  </x:fills>
  <x:borders count="3">
    <x:border/>
    <x:border/>
    <x:border>
      <x:bottom style="thin">
        <x:color rgb="FFA6A6A6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vertical="top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4b159981a4db8" /><Relationship Type="http://schemas.openxmlformats.org/officeDocument/2006/relationships/theme" Target="/xl/theme/theme1.xml" Id="Rd15547f17d2f49e5" /><Relationship Type="http://schemas.microsoft.com/office/2022/11/relationships/FeaturePropertyBag" Target="/xl/featurePropertyBag/featurePropertyBag.xml" Id="R50a7e8354b864b78" /><Relationship Type="http://schemas.openxmlformats.org/officeDocument/2006/relationships/sharedStrings" Target="/xl/sharedStrings.xml" Id="Rc843a9d52dce4c76" /><Relationship Type="http://schemas.openxmlformats.org/officeDocument/2006/relationships/worksheet" Target="/xl/worksheets/sheet1.xml" Id="Rdfd3a354151c466b" /><Relationship Type="http://schemas.openxmlformats.org/officeDocument/2006/relationships/worksheet" Target="/xl/worksheets/sheet2.xml" Id="R4b925e743f0a4615" /><Relationship Type="http://schemas.openxmlformats.org/officeDocument/2006/relationships/worksheet" Target="/xl/worksheets/sheet3.xml" Id="R4b378aafbec94133" /><Relationship Type="http://schemas.openxmlformats.org/officeDocument/2006/relationships/worksheet" Target="/xl/worksheets/sheet4.xml" Id="R24b4195448a947e1" /><Relationship Type="http://schemas.openxmlformats.org/officeDocument/2006/relationships/worksheet" Target="/xl/worksheets/sheet5.xml" Id="R68b3334fe72749a5" /><Relationship Type="http://schemas.openxmlformats.org/officeDocument/2006/relationships/worksheet" Target="/xl/worksheets/sheet6.xml" Id="R444cdc2aa5ff4144" /><Relationship Type="http://schemas.openxmlformats.org/officeDocument/2006/relationships/worksheet" Target="/xl/worksheets/sheet7.xml" Id="R2f47e7be1cf441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estionBankTable" displayName="QuestionBankTable" ref="A4:Q64" headerRowCount="1" totalsRowCount="0" totalsRowShown="0">
  <x:tableColumns count="17">
    <x:tableColumn id="1" name="Question_ID"/>
    <x:tableColumn id="2" name="Question_Type"/>
    <x:tableColumn id="3" name="Difficulty"/>
    <x:tableColumn id="4" name="Chinese_Question"/>
    <x:tableColumn id="5" name="English_Question"/>
    <x:tableColumn id="6" name="Time"/>
    <x:tableColumn id="7" name="Concept"/>
    <x:tableColumn id="8" name="Filter"/>
    <x:tableColumn id="9" name="Logic"/>
    <x:tableColumn id="10" name="Required_Items"/>
    <x:tableColumn id="11" name="Years"/>
    <x:tableColumn id="12" name="Unit"/>
    <x:tableColumn id="13" name="Template"/>
    <x:tableColumn id="14" name="Scope_Status"/>
    <x:tableColumn id="15" name="Question_Source"/>
    <x:tableColumn id="16" name="Review_Status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ncialFactsTable" displayName="FinancialFactsTable" ref="A4:O142" headerRowCount="1" totalsRowCount="0" totalsRowShown="0">
  <x:tableColumns count="15">
    <x:tableColumn id="1" name="Fact_ID"/>
    <x:tableColumn id="2" name="Company"/>
    <x:tableColumn id="3" name="Stock_Code"/>
    <x:tableColumn id="4" name="Fiscal_Year"/>
    <x:tableColumn id="5" name="ROC_Year"/>
    <x:tableColumn id="6" name="Statement"/>
    <x:tableColumn id="7" name="Concept_ID"/>
    <x:tableColumn id="8" name="Concept_ZH"/>
    <x:tableColumn id="9" name="Value"/>
    <x:tableColumn id="10" name="Value_Status"/>
    <x:tableColumn id="11" name="Unit"/>
    <x:tableColumn id="12" name="Period_Type"/>
    <x:tableColumn id="13" name="Period_Start"/>
    <x:tableColumn id="14" name="Period_End"/>
    <x:tableColumn id="15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TypeTable" displayName="QuestionTypeTable" ref="A3:F9" headerRowCount="1" totalsRowCount="0" totalsRowShown="0">
  <x:tableColumns count="6">
    <x:tableColumn id="1" name="Question_Type"/>
    <x:tableColumn id="2" name="中文名稱"/>
    <x:tableColumn id="3" name="定義"/>
    <x:tableColumn id="4" name="判斷特徵 / Python Logic"/>
    <x:tableColumn id="5" name="本資料集設計原則"/>
    <x:tableColumn id="6" name="範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Table" displayName="ValidationRulesTable" ref="A3:G18" headerRowCount="1" totalsRowCount="0" totalsRowShown="0">
  <x:tableColumns count="7">
    <x:tableColumn id="1" name="Rule_ID"/>
    <x:tableColumn id="2" name="Category"/>
    <x:tableColumn id="3" name="Validation_Type"/>
    <x:tableColumn id="4" name="Severity"/>
    <x:tableColumn id="5" name="Rule"/>
    <x:tableColumn id="6" name="Failure_Action"/>
    <x:tableColumn id="7" name="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oldAnnotationsTable" displayName="GoldAnnotationsTable" ref="A4:U64" headerRowCount="1" totalsRowCount="0" totalsRowShown="0">
  <x:tableColumns count="21">
    <x:tableColumn id="1" name="Question_ID"/>
    <x:tableColumn id="2" name="Question_Type"/>
    <x:tableColumn id="3" name="Difficulty"/>
    <x:tableColumn id="4" name="Chinese_Question"/>
    <x:tableColumn id="5" name="English_Question"/>
    <x:tableColumn id="6" name="Golden_Context"/>
    <x:tableColumn id="7" name="Python_Solution"/>
    <x:tableColumn id="8" name="Gold_Answer"/>
    <x:tableColumn id="9" name="Answer_Display_ZH"/>
    <x:tableColumn id="10" name="Unit"/>
    <x:tableColumn id="11" name="Source_Fact_IDs"/>
    <x:tableColumn id="12" name="Execution_Result"/>
    <x:tableColumn id="13" name="Required_Facts_Pass"/>
    <x:tableColumn id="14" name="Null_Check"/>
    <x:tableColumn id="15" name="Unit_Check"/>
    <x:tableColumn id="16" name="Type_Logic_Check"/>
    <x:tableColumn id="17" name="Golden_Context_Check"/>
    <x:tableColumn id="18" name="Python_Execution_Pass"/>
    <x:tableColumn id="19" name="Answer_Match"/>
    <x:tableColumn id="20" name="Validation_Status"/>
    <x:tableColumn id="21" name="Validation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28757e1b2545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20953aeba246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3aa551cb5e41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92a55317df49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5419684cbf403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38" hidden="0" customWidth="1"/>
    <x:col min="5" max="5" width="42" hidden="0" customWidth="1"/>
    <x:col min="6" max="6" width="18" hidden="0" customWidth="1"/>
    <x:col min="7" max="7" width="28" hidden="0" customWidth="1"/>
    <x:col min="8" max="8" width="18" hidden="0" customWidth="1"/>
    <x:col min="9" max="9" width="22" hidden="0" customWidth="1"/>
    <x:col min="10" max="10" width="34" hidden="0" customWidth="1"/>
    <x:col min="11" max="11" width="18" hidden="0" customWidth="1"/>
    <x:col min="12" max="12" width="14" hidden="0" customWidth="1"/>
    <x:col min="13" max="13" width="36" hidden="0" customWidth="1"/>
    <x:col min="14" max="14" width="14" hidden="0" customWidth="1"/>
    <x:col min="15" max="15" width="34" hidden="0" customWidth="1"/>
    <x:col min="16" max="16" width="18" hidden="0" customWidth="1"/>
    <x:col min="17" max="17" width="45" hidden="0" customWidth="1"/>
  </x:cols>
  <x:sheetData>
    <x:row r="1" ht="28" customHeight="1">
      <x:c r="A1" s="4" t="str">
        <x:v>UMC Simplified Financial QA Gold Dataset v1 — Question Specification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8" customHeight="1">
      <x:c r="A2" s="10" t="str">
        <x:v>範圍：僅使用聯電 112–114 年簡明資產負債表與簡明綜合損益表；共 60 題，六種 Question Type 各 10 題；每類 Easy 3 / Medium 4 / Hard 3。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4" ht="15" hidden="0" customHeight="1">
      <x:c r="A4" s="18" t="str">
        <x:v>Question_ID</x:v>
      </x:c>
      <x:c r="B4" s="18" t="str">
        <x:v>Question_Type</x:v>
      </x:c>
      <x:c r="C4" s="18" t="str">
        <x:v>Difficulty</x:v>
      </x:c>
      <x:c r="D4" s="18" t="str">
        <x:v>Chinese_Question</x:v>
      </x:c>
      <x:c r="E4" s="18" t="str">
        <x:v>English_Question</x:v>
      </x:c>
      <x:c r="F4" s="18" t="str">
        <x:v>Time</x:v>
      </x:c>
      <x:c r="G4" s="18" t="str">
        <x:v>Concept</x:v>
      </x:c>
      <x:c r="H4" s="18" t="str">
        <x:v>Filter</x:v>
      </x:c>
      <x:c r="I4" s="18" t="str">
        <x:v>Logic</x:v>
      </x:c>
      <x:c r="J4" s="18" t="str">
        <x:v>Required_Items</x:v>
      </x:c>
      <x:c r="K4" s="18" t="str">
        <x:v>Years</x:v>
      </x:c>
      <x:c r="L4" s="18" t="str">
        <x:v>Unit</x:v>
      </x:c>
      <x:c r="M4" s="18" t="str">
        <x:v>Template</x:v>
      </x:c>
      <x:c r="N4" s="18" t="str">
        <x:v>Scope_Status</x:v>
      </x:c>
      <x:c r="O4" s="18" t="str">
        <x:v>Question_Source</x:v>
      </x:c>
      <x:c r="P4" s="18" t="str">
        <x:v>Review_Status</x:v>
      </x:c>
      <x:c r="Q4" s="18" t="str">
        <x:v>Notes</x:v>
      </x:c>
    </x:row>
    <x:row r="5" ht="26.399999618530273" hidden="0" customHeight="1">
      <x:c r="A5" s="24" t="str">
        <x:v>SF01</x:v>
      </x:c>
      <x:c r="B5" s="24" t="str">
        <x:v>Single-Fact</x:v>
      </x:c>
      <x:c r="C5" s="24" t="str">
        <x:v>Easy</x:v>
      </x:c>
      <x:c r="D5" s="24" t="str">
        <x:v>聯電114年度的營業收入是多少？</x:v>
      </x:c>
      <x:c r="E5" s="24" t="str">
        <x:v>What was UMC's operating revenue in 2025?</x:v>
      </x:c>
      <x:c r="F5" s="24" t="str">
        <x:v>114年度</x:v>
      </x:c>
      <x:c r="G5" s="24" t="str">
        <x:v>營業收入</x:v>
      </x:c>
      <x:c r="H5" s="24" t="str"/>
      <x:c r="I5" s="24" t="str">
        <x:v>direct retrieval</x:v>
      </x:c>
      <x:c r="J5" s="24" t="str">
        <x:v>營業收入</x:v>
      </x:c>
      <x:c r="K5" s="24" t="str">
        <x:v>2025</x:v>
      </x:c>
      <x:c r="L5" s="24" t="str">
        <x:v>新臺幣仟元</x:v>
      </x:c>
      <x:c r="M5" s="24" t="str">
        <x:v>What was {Concept} in {Time}?</x:v>
      </x:c>
      <x:c r="N5" s="24" t="str">
        <x:v>Eligible</x:v>
      </x:c>
      <x:c r="O5" s="24" t="str">
        <x:v>Researcher-designed from simplified UMC financial statements</x:v>
      </x:c>
      <x:c r="P5" s="24" t="str">
        <x:v>Approved</x:v>
      </x:c>
      <x:c r="Q5" s="24" t="str">
        <x:v>第一輪人工審查通過：題型、範圍、必要科目與年度皆符合 Simplified-FS Corpus。</x:v>
      </x:c>
    </x:row>
    <x:row r="6" ht="26.399999618530273" hidden="0" customHeight="1">
      <x:c r="A6" s="24" t="str">
        <x:v>SF02</x:v>
      </x:c>
      <x:c r="B6" s="24" t="str">
        <x:v>Single-Fact</x:v>
      </x:c>
      <x:c r="C6" s="24" t="str">
        <x:v>Easy</x:v>
      </x:c>
      <x:c r="D6" s="24" t="str">
        <x:v>聯電113年12月31日的資產總計是多少？</x:v>
      </x:c>
      <x:c r="E6" s="24" t="str">
        <x:v>What were UMC's total assets in 2024?</x:v>
      </x:c>
      <x:c r="F6" s="24" t="str">
        <x:v>113年12月31日</x:v>
      </x:c>
      <x:c r="G6" s="24" t="str">
        <x:v>資產總計</x:v>
      </x:c>
      <x:c r="H6" s="24" t="str"/>
      <x:c r="I6" s="24" t="str">
        <x:v>direct retrieval</x:v>
      </x:c>
      <x:c r="J6" s="24" t="str">
        <x:v>資產總計</x:v>
      </x:c>
      <x:c r="K6" s="24" t="str">
        <x:v>2024</x:v>
      </x:c>
      <x:c r="L6" s="24" t="str">
        <x:v>新臺幣仟元</x:v>
      </x:c>
      <x:c r="M6" s="24" t="str">
        <x:v>What was {Concept} as of {Time}?</x:v>
      </x:c>
      <x:c r="N6" s="24" t="str">
        <x:v>Eligible</x:v>
      </x:c>
      <x:c r="O6" s="24" t="str">
        <x:v>Researcher-designed from simplified UMC financial statements</x:v>
      </x:c>
      <x:c r="P6" s="24" t="str">
        <x:v>Approved</x:v>
      </x:c>
      <x:c r="Q6" s="24" t="str">
        <x:v>已修訂後通過：資產總計屬時點項目，中文題目改為明確標示12月31日。</x:v>
      </x:c>
    </x:row>
    <x:row r="7" ht="26.399999618530273" hidden="0" customHeight="1">
      <x:c r="A7" s="24" t="str">
        <x:v>SF03</x:v>
      </x:c>
      <x:c r="B7" s="24" t="str">
        <x:v>Single-Fact</x:v>
      </x:c>
      <x:c r="C7" s="24" t="str">
        <x:v>Easy</x:v>
      </x:c>
      <x:c r="D7" s="24" t="str">
        <x:v>聯電112年度的本期淨利是多少？</x:v>
      </x:c>
      <x:c r="E7" s="24" t="str">
        <x:v>What was UMC's net profit in 2023?</x:v>
      </x:c>
      <x:c r="F7" s="24" t="str">
        <x:v>112年度</x:v>
      </x:c>
      <x:c r="G7" s="24" t="str">
        <x:v>本期淨利（淨損）</x:v>
      </x:c>
      <x:c r="H7" s="24" t="str"/>
      <x:c r="I7" s="24" t="str">
        <x:v>direct retrieval</x:v>
      </x:c>
      <x:c r="J7" s="24" t="str">
        <x:v>本期淨利（淨損）</x:v>
      </x:c>
      <x:c r="K7" s="24" t="str">
        <x:v>2023</x:v>
      </x:c>
      <x:c r="L7" s="24" t="str">
        <x:v>新臺幣仟元</x:v>
      </x:c>
      <x:c r="M7" s="24" t="str">
        <x:v>What was {Concept} in {Time}?</x:v>
      </x:c>
      <x:c r="N7" s="24" t="str">
        <x:v>Eligible</x:v>
      </x:c>
      <x:c r="O7" s="24" t="str">
        <x:v>Researcher-designed from simplified UMC financial statements</x:v>
      </x:c>
      <x:c r="P7" s="24" t="str">
        <x:v>Approved</x:v>
      </x:c>
      <x:c r="Q7" s="24" t="str">
        <x:v>第一輪人工審查通過：題型、範圍、必要科目與年度皆符合 Simplified-FS Corpus。</x:v>
      </x:c>
    </x:row>
    <x:row r="8" ht="26.399999618530273" hidden="0" customHeight="1">
      <x:c r="A8" s="24" t="str">
        <x:v>SF04</x:v>
      </x:c>
      <x:c r="B8" s="24" t="str">
        <x:v>Single-Fact</x:v>
      </x:c>
      <x:c r="C8" s="24" t="str">
        <x:v>Medium</x:v>
      </x:c>
      <x:c r="D8" s="24" t="str">
        <x:v>聯電114年12月31日的流動負債是多少？</x:v>
      </x:c>
      <x:c r="E8" s="24" t="str">
        <x:v>What were UMC's current liabilities as of December 31, 2025?</x:v>
      </x:c>
      <x:c r="F8" s="24" t="str">
        <x:v>114年12月31日</x:v>
      </x:c>
      <x:c r="G8" s="24" t="str">
        <x:v>流動負債</x:v>
      </x:c>
      <x:c r="H8" s="24" t="str"/>
      <x:c r="I8" s="24" t="str">
        <x:v>direct retrieval</x:v>
      </x:c>
      <x:c r="J8" s="24" t="str">
        <x:v>流動負債</x:v>
      </x:c>
      <x:c r="K8" s="24" t="str">
        <x:v>2025</x:v>
      </x:c>
      <x:c r="L8" s="24" t="str">
        <x:v>新臺幣仟元</x:v>
      </x:c>
      <x:c r="M8" s="24" t="str">
        <x:v>What was {Concept} as of {Time}?</x:v>
      </x:c>
      <x:c r="N8" s="24" t="str">
        <x:v>Eligible</x:v>
      </x:c>
      <x:c r="O8" s="24" t="str">
        <x:v>Researcher-designed from simplified UMC financial statements</x:v>
      </x:c>
      <x:c r="P8" s="24" t="str">
        <x:v>Approved</x:v>
      </x:c>
      <x:c r="Q8" s="24" t="str">
        <x:v>第一輪人工審查通過：題型、範圍、必要科目與年度皆符合 Simplified-FS Corpus。</x:v>
      </x:c>
    </x:row>
    <x:row r="9" ht="26.399999618530273" hidden="0" customHeight="1">
      <x:c r="A9" s="24" t="str">
        <x:v>SF05</x:v>
      </x:c>
      <x:c r="B9" s="24" t="str">
        <x:v>Single-Fact</x:v>
      </x:c>
      <x:c r="C9" s="24" t="str">
        <x:v>Medium</x:v>
      </x:c>
      <x:c r="D9" s="24" t="str">
        <x:v>聯電113年12月31日的權益總計是多少？</x:v>
      </x:c>
      <x:c r="E9" s="24" t="str">
        <x:v>What was UMC's total equity as of December 31, 2024?</x:v>
      </x:c>
      <x:c r="F9" s="24" t="str">
        <x:v>113年12月31日</x:v>
      </x:c>
      <x:c r="G9" s="24" t="str">
        <x:v>權益總計</x:v>
      </x:c>
      <x:c r="H9" s="24" t="str"/>
      <x:c r="I9" s="24" t="str">
        <x:v>direct retrieval</x:v>
      </x:c>
      <x:c r="J9" s="24" t="str">
        <x:v>權益總計</x:v>
      </x:c>
      <x:c r="K9" s="24" t="str">
        <x:v>2024</x:v>
      </x:c>
      <x:c r="L9" s="24" t="str">
        <x:v>新臺幣仟元</x:v>
      </x:c>
      <x:c r="M9" s="24" t="str">
        <x:v>What was {Concept} as of {Time}?</x:v>
      </x:c>
      <x:c r="N9" s="24" t="str">
        <x:v>Eligible</x:v>
      </x:c>
      <x:c r="O9" s="24" t="str">
        <x:v>Researcher-designed from simplified UMC financial statements</x:v>
      </x:c>
      <x:c r="P9" s="24" t="str">
        <x:v>Approved</x:v>
      </x:c>
      <x:c r="Q9" s="24" t="str">
        <x:v>第一輪人工審查通過：題型、範圍、必要科目與年度皆符合 Simplified-FS Corpus。</x:v>
      </x:c>
    </x:row>
    <x:row r="10" ht="26.399999618530273" hidden="0" customHeight="1">
      <x:c r="A10" s="24" t="str">
        <x:v>SF06</x:v>
      </x:c>
      <x:c r="B10" s="24" t="str">
        <x:v>Single-Fact</x:v>
      </x:c>
      <x:c r="C10" s="24" t="str">
        <x:v>Medium</x:v>
      </x:c>
      <x:c r="D10" s="24" t="str">
        <x:v>聯電112年度的營業利益是多少？</x:v>
      </x:c>
      <x:c r="E10" s="24" t="str">
        <x:v>What was UMC's operating income in 2023?</x:v>
      </x:c>
      <x:c r="F10" s="24" t="str">
        <x:v>112年度</x:v>
      </x:c>
      <x:c r="G10" s="24" t="str">
        <x:v>營業利益（損失）</x:v>
      </x:c>
      <x:c r="H10" s="24" t="str"/>
      <x:c r="I10" s="24" t="str">
        <x:v>direct retrieval</x:v>
      </x:c>
      <x:c r="J10" s="24" t="str">
        <x:v>營業利益（損失）</x:v>
      </x:c>
      <x:c r="K10" s="24" t="str">
        <x:v>2023</x:v>
      </x:c>
      <x:c r="L10" s="24" t="str">
        <x:v>新臺幣仟元</x:v>
      </x:c>
      <x:c r="M10" s="24" t="str">
        <x:v>What was {Concept} in {Time}?</x:v>
      </x:c>
      <x:c r="N10" s="24" t="str">
        <x:v>Eligible</x:v>
      </x:c>
      <x:c r="O10" s="24" t="str">
        <x:v>Researcher-designed from simplified UMC financial statements</x:v>
      </x:c>
      <x:c r="P10" s="24" t="str">
        <x:v>Approved</x:v>
      </x:c>
      <x:c r="Q10" s="24" t="str">
        <x:v>第一輪人工審查通過：題型、範圍、必要科目與年度皆符合 Simplified-FS Corpus。</x:v>
      </x:c>
    </x:row>
    <x:row r="11" ht="26.399999618530273" hidden="0" customHeight="1">
      <x:c r="A11" s="24" t="str">
        <x:v>SF07</x:v>
      </x:c>
      <x:c r="B11" s="24" t="str">
        <x:v>Single-Fact</x:v>
      </x:c>
      <x:c r="C11" s="24" t="str">
        <x:v>Medium</x:v>
      </x:c>
      <x:c r="D11" s="24" t="str">
        <x:v>聯電114年度的基本每股盈餘是多少？</x:v>
      </x:c>
      <x:c r="E11" s="24" t="str">
        <x:v>What was UMC's basic earnings per share in 2025?</x:v>
      </x:c>
      <x:c r="F11" s="24" t="str">
        <x:v>114年度</x:v>
      </x:c>
      <x:c r="G11" s="24" t="str">
        <x:v>基本每股盈餘（元）</x:v>
      </x:c>
      <x:c r="H11" s="24" t="str"/>
      <x:c r="I11" s="24" t="str">
        <x:v>direct retrieval</x:v>
      </x:c>
      <x:c r="J11" s="24" t="str">
        <x:v>基本每股盈餘（元）</x:v>
      </x:c>
      <x:c r="K11" s="24" t="str">
        <x:v>2025</x:v>
      </x:c>
      <x:c r="L11" s="24" t="str">
        <x:v>元</x:v>
      </x:c>
      <x:c r="M11" s="24" t="str">
        <x:v>What was {Concept} in {Time}?</x:v>
      </x:c>
      <x:c r="N11" s="24" t="str">
        <x:v>Eligible</x:v>
      </x:c>
      <x:c r="O11" s="24" t="str">
        <x:v>Researcher-designed from simplified UMC financial statements</x:v>
      </x:c>
      <x:c r="P11" s="24" t="str">
        <x:v>Approved</x:v>
      </x:c>
      <x:c r="Q11" s="24" t="str">
        <x:v>第一輪人工審查通過：題型、範圍、必要科目與年度皆符合 Simplified-FS Corpus。</x:v>
      </x:c>
    </x:row>
    <x:row r="12" ht="26.399999618530273" hidden="0" customHeight="1">
      <x:c r="A12" s="24" t="str">
        <x:v>SF08</x:v>
      </x:c>
      <x:c r="B12" s="24" t="str">
        <x:v>Single-Fact</x:v>
      </x:c>
      <x:c r="C12" s="24" t="str">
        <x:v>Hard</x:v>
      </x:c>
      <x:c r="D12" s="24" t="str">
        <x:v>聯電113年度歸屬於母公司業主之綜合損益總額是多少？</x:v>
      </x:c>
      <x:c r="E12" s="24" t="str">
        <x:v>What was UMC's total comprehensive income attributable to owners of the parent in 2024?</x:v>
      </x:c>
      <x:c r="F12" s="24" t="str">
        <x:v>113年度</x:v>
      </x:c>
      <x:c r="G12" s="24" t="str">
        <x:v>綜合損益總額歸屬於母公司業主</x:v>
      </x:c>
      <x:c r="H12" s="24" t="str"/>
      <x:c r="I12" s="24" t="str">
        <x:v>direct retrieval</x:v>
      </x:c>
      <x:c r="J12" s="24" t="str">
        <x:v>綜合損益總額歸屬於母公司業主</x:v>
      </x:c>
      <x:c r="K12" s="24" t="str">
        <x:v>2024</x:v>
      </x:c>
      <x:c r="L12" s="24" t="str">
        <x:v>新臺幣仟元</x:v>
      </x:c>
      <x:c r="M12" s="24" t="str">
        <x:v>What was {Concept} in {Time}?</x:v>
      </x:c>
      <x:c r="N12" s="24" t="str">
        <x:v>Eligible</x:v>
      </x:c>
      <x:c r="O12" s="24" t="str">
        <x:v>Researcher-designed from simplified UMC financial statements</x:v>
      </x:c>
      <x:c r="P12" s="24" t="str">
        <x:v>Approved</x:v>
      </x:c>
      <x:c r="Q12" s="24" t="str">
        <x:v>第一輪人工審查通過：題型、範圍、必要科目與年度皆符合 Simplified-FS Corpus。</x:v>
      </x:c>
    </x:row>
    <x:row r="13" ht="26.399999618530273" hidden="0" customHeight="1">
      <x:c r="A13" s="24" t="str">
        <x:v>SF09</x:v>
      </x:c>
      <x:c r="B13" s="24" t="str">
        <x:v>Single-Fact</x:v>
      </x:c>
      <x:c r="C13" s="24" t="str">
        <x:v>Hard</x:v>
      </x:c>
      <x:c r="D13" s="24" t="str">
        <x:v>聯電114年度的其他綜合損益淨額是多少？</x:v>
      </x:c>
      <x:c r="E13" s="24" t="str">
        <x:v>What was UMC's net other comprehensive income in 2025?</x:v>
      </x:c>
      <x:c r="F13" s="24" t="str">
        <x:v>114年度</x:v>
      </x:c>
      <x:c r="G13" s="24" t="str">
        <x:v>其他綜合損益（淨額）</x:v>
      </x:c>
      <x:c r="H13" s="24" t="str"/>
      <x:c r="I13" s="24" t="str">
        <x:v>direct retrieval</x:v>
      </x:c>
      <x:c r="J13" s="24" t="str">
        <x:v>其他綜合損益（淨額）</x:v>
      </x:c>
      <x:c r="K13" s="24" t="str">
        <x:v>2025</x:v>
      </x:c>
      <x:c r="L13" s="24" t="str">
        <x:v>新臺幣仟元</x:v>
      </x:c>
      <x:c r="M13" s="24" t="str">
        <x:v>What was {Concept} in {Time}?</x:v>
      </x:c>
      <x:c r="N13" s="24" t="str">
        <x:v>Eligible</x:v>
      </x:c>
      <x:c r="O13" s="24" t="str">
        <x:v>Researcher-designed from simplified UMC financial statements</x:v>
      </x:c>
      <x:c r="P13" s="24" t="str">
        <x:v>Approved</x:v>
      </x:c>
      <x:c r="Q13" s="24" t="str">
        <x:v>第一輪人工審查通過：題型、範圍、必要科目與年度皆符合 Simplified-FS Corpus。</x:v>
      </x:c>
    </x:row>
    <x:row r="14" ht="26.399999618530273" hidden="0" customHeight="1">
      <x:c r="A14" s="24" t="str">
        <x:v>SF10</x:v>
      </x:c>
      <x:c r="B14" s="24" t="str">
        <x:v>Single-Fact</x:v>
      </x:c>
      <x:c r="C14" s="24" t="str">
        <x:v>Hard</x:v>
      </x:c>
      <x:c r="D14" s="24" t="str">
        <x:v>聯電112年12月31日資產負債表中的非控制權益是多少？</x:v>
      </x:c>
      <x:c r="E14" s="24" t="str">
        <x:v>What were UMC's non-controlling interests as of December 31, 2023?</x:v>
      </x:c>
      <x:c r="F14" s="24" t="str">
        <x:v>112年12月31日</x:v>
      </x:c>
      <x:c r="G14" s="24" t="str">
        <x:v>非控制權益</x:v>
      </x:c>
      <x:c r="H14" s="24" t="str">
        <x:v>資產負債表</x:v>
      </x:c>
      <x:c r="I14" s="24" t="str">
        <x:v>direct retrieval</x:v>
      </x:c>
      <x:c r="J14" s="24" t="str">
        <x:v>非控制權益</x:v>
      </x:c>
      <x:c r="K14" s="24" t="str">
        <x:v>2023</x:v>
      </x:c>
      <x:c r="L14" s="24" t="str">
        <x:v>新臺幣仟元</x:v>
      </x:c>
      <x:c r="M14" s="24" t="str">
        <x:v>What was {Concept} {Filter} as of {Time}?</x:v>
      </x:c>
      <x:c r="N14" s="24" t="str">
        <x:v>Eligible</x:v>
      </x:c>
      <x:c r="O14" s="24" t="str">
        <x:v>Researcher-designed from simplified UMC financial statements</x:v>
      </x:c>
      <x:c r="P14" s="24" t="str">
        <x:v>Approved</x:v>
      </x:c>
      <x:c r="Q14" s="24" t="str">
        <x:v>已修訂後通過：英文移除不必要的 'in equity'，避免將財報列項誤解為額外 Filter。</x:v>
      </x:c>
    </x:row>
    <x:row r="15" ht="26.399999618530273" hidden="0" customHeight="1">
      <x:c r="A15" s="24" t="str">
        <x:v>CP01</x:v>
      </x:c>
      <x:c r="B15" s="24" t="str">
        <x:v>Comparison</x:v>
      </x:c>
      <x:c r="C15" s="24" t="str">
        <x:v>Easy</x:v>
      </x:c>
      <x:c r="D15" s="24" t="str">
        <x:v>112至114年度中，聯電哪一年的營業收入最高？</x:v>
      </x:c>
      <x:c r="E15" s="24" t="str">
        <x:v>Which year had UMC's highest operating revenue from 2023 to 2025?</x:v>
      </x:c>
      <x:c r="F15" s="24" t="str">
        <x:v>112至114年度</x:v>
      </x:c>
      <x:c r="G15" s="24" t="str">
        <x:v>營業收入</x:v>
      </x:c>
      <x:c r="H15" s="24" t="str"/>
      <x:c r="I15" s="24" t="str">
        <x:v>maximum across years</x:v>
      </x:c>
      <x:c r="J15" s="24" t="str">
        <x:v>營業收入</x:v>
      </x:c>
      <x:c r="K15" s="24" t="str">
        <x:v>2023, 2024, 2025</x:v>
      </x:c>
      <x:c r="L15" s="24" t="str">
        <x:v>年</x:v>
      </x:c>
      <x:c r="M15" s="24" t="str">
        <x:v>Which {Time: year} had the {Logic: highest} {Concept}?</x:v>
      </x:c>
      <x:c r="N15" s="24" t="str">
        <x:v>Eligible</x:v>
      </x:c>
      <x:c r="O15" s="24" t="str">
        <x:v>Researcher-designed from simplified UMC financial statements</x:v>
      </x:c>
      <x:c r="P15" s="24" t="str">
        <x:v>Approved</x:v>
      </x:c>
      <x:c r="Q15" s="24" t="str">
        <x:v>第一輪人工審查通過：題型、範圍、必要科目與年度皆符合 Simplified-FS Corpus。</x:v>
      </x:c>
    </x:row>
    <x:row r="16" ht="26.399999618530273" hidden="0" customHeight="1">
      <x:c r="A16" s="24" t="str">
        <x:v>CP02</x:v>
      </x:c>
      <x:c r="B16" s="24" t="str">
        <x:v>Comparison</x:v>
      </x:c>
      <x:c r="C16" s="24" t="str">
        <x:v>Easy</x:v>
      </x:c>
      <x:c r="D16" s="24" t="str">
        <x:v>112至114年度中，聯電哪一年的營業利益最低？</x:v>
      </x:c>
      <x:c r="E16" s="24" t="str">
        <x:v>Which year had UMC's lowest operating income from 2023 to 2025?</x:v>
      </x:c>
      <x:c r="F16" s="24" t="str">
        <x:v>112至114年度</x:v>
      </x:c>
      <x:c r="G16" s="24" t="str">
        <x:v>營業利益（損失）</x:v>
      </x:c>
      <x:c r="H16" s="24" t="str"/>
      <x:c r="I16" s="24" t="str">
        <x:v>minimum across years</x:v>
      </x:c>
      <x:c r="J16" s="24" t="str">
        <x:v>營業利益（損失）</x:v>
      </x:c>
      <x:c r="K16" s="24" t="str">
        <x:v>2023, 2024, 2025</x:v>
      </x:c>
      <x:c r="L16" s="24" t="str">
        <x:v>年</x:v>
      </x:c>
      <x:c r="M16" s="24" t="str">
        <x:v>Which {Time: year} had the {Logic: lowest} {Concept}?</x:v>
      </x:c>
      <x:c r="N16" s="24" t="str">
        <x:v>Eligible</x:v>
      </x:c>
      <x:c r="O16" s="24" t="str">
        <x:v>Researcher-designed from simplified UMC financial statements</x:v>
      </x:c>
      <x:c r="P16" s="24" t="str">
        <x:v>Approved</x:v>
      </x:c>
      <x:c r="Q16" s="24" t="str">
        <x:v>第一輪人工審查通過：題型、範圍、必要科目與年度皆符合 Simplified-FS Corpus。</x:v>
      </x:c>
    </x:row>
    <x:row r="17" ht="26.399999618530273" hidden="0" customHeight="1">
      <x:c r="A17" s="24" t="str">
        <x:v>CP03</x:v>
      </x:c>
      <x:c r="B17" s="24" t="str">
        <x:v>Comparison</x:v>
      </x:c>
      <x:c r="C17" s="24" t="str">
        <x:v>Easy</x:v>
      </x:c>
      <x:c r="D17" s="24" t="str">
        <x:v>112至114年各年12月31日，聯電哪一年的資產總計最高？</x:v>
      </x:c>
      <x:c r="E17" s="24" t="str">
        <x:v>Which year had UMC's highest total assets from 2023 to 2025?</x:v>
      </x:c>
      <x:c r="F17" s="24" t="str">
        <x:v>112至114年12月31日</x:v>
      </x:c>
      <x:c r="G17" s="24" t="str">
        <x:v>資產總計</x:v>
      </x:c>
      <x:c r="H17" s="24" t="str"/>
      <x:c r="I17" s="24" t="str">
        <x:v>maximum across years</x:v>
      </x:c>
      <x:c r="J17" s="24" t="str">
        <x:v>資產總計</x:v>
      </x:c>
      <x:c r="K17" s="24" t="str">
        <x:v>2023, 2024, 2025</x:v>
      </x:c>
      <x:c r="L17" s="24" t="str">
        <x:v>年</x:v>
      </x:c>
      <x:c r="M17" s="24" t="str">
        <x:v>Which {Time: year} had the {Logic: highest} {Concept}?</x:v>
      </x:c>
      <x:c r="N17" s="24" t="str">
        <x:v>Eligible</x:v>
      </x:c>
      <x:c r="O17" s="24" t="str">
        <x:v>Researcher-designed from simplified UMC financial statements</x:v>
      </x:c>
      <x:c r="P17" s="24" t="str">
        <x:v>Approved</x:v>
      </x:c>
      <x:c r="Q17" s="24" t="str">
        <x:v>已修訂後通過：資產總計為時點項目，明確限定各年12月31日。</x:v>
      </x:c>
    </x:row>
    <x:row r="18" ht="26.399999618530273" hidden="0" customHeight="1">
      <x:c r="A18" s="24" t="str">
        <x:v>CP04</x:v>
      </x:c>
      <x:c r="B18" s="24" t="str">
        <x:v>Comparison</x:v>
      </x:c>
      <x:c r="C18" s="24" t="str">
        <x:v>Medium</x:v>
      </x:c>
      <x:c r="D18" s="24" t="str">
        <x:v>112至114年各年12月31日，聯電哪一年的負債總計最低？</x:v>
      </x:c>
      <x:c r="E18" s="24" t="str">
        <x:v>Which year had UMC's lowest total liabilities from 2023 to 2025?</x:v>
      </x:c>
      <x:c r="F18" s="24" t="str">
        <x:v>112至114年12月31日</x:v>
      </x:c>
      <x:c r="G18" s="24" t="str">
        <x:v>負債總計</x:v>
      </x:c>
      <x:c r="H18" s="24" t="str"/>
      <x:c r="I18" s="24" t="str">
        <x:v>minimum across years</x:v>
      </x:c>
      <x:c r="J18" s="24" t="str">
        <x:v>負債總計</x:v>
      </x:c>
      <x:c r="K18" s="24" t="str">
        <x:v>2023, 2024, 2025</x:v>
      </x:c>
      <x:c r="L18" s="24" t="str">
        <x:v>年</x:v>
      </x:c>
      <x:c r="M18" s="24" t="str">
        <x:v>Which {Time: year} had the {Logic: lowest} {Concept}?</x:v>
      </x:c>
      <x:c r="N18" s="24" t="str">
        <x:v>Eligible</x:v>
      </x:c>
      <x:c r="O18" s="24" t="str">
        <x:v>Researcher-designed from simplified UMC financial statements</x:v>
      </x:c>
      <x:c r="P18" s="24" t="str">
        <x:v>Approved</x:v>
      </x:c>
      <x:c r="Q18" s="24" t="str">
        <x:v>已修訂後通過：負債總計為時點項目，明確限定各年12月31日。</x:v>
      </x:c>
    </x:row>
    <x:row r="19" ht="26.399999618530273" hidden="0" customHeight="1">
      <x:c r="A19" s="24" t="str">
        <x:v>CP05</x:v>
      </x:c>
      <x:c r="B19" s="24" t="str">
        <x:v>Comparison</x:v>
      </x:c>
      <x:c r="C19" s="24" t="str">
        <x:v>Medium</x:v>
      </x:c>
      <x:c r="D19" s="24" t="str">
        <x:v>112至114年各年12月31日，聯電哪一年的權益總計最高？</x:v>
      </x:c>
      <x:c r="E19" s="24" t="str">
        <x:v>Which year had UMC's highest total equity from 2023 to 2025?</x:v>
      </x:c>
      <x:c r="F19" s="24" t="str">
        <x:v>112至114年12月31日</x:v>
      </x:c>
      <x:c r="G19" s="24" t="str">
        <x:v>權益總計</x:v>
      </x:c>
      <x:c r="H19" s="24" t="str"/>
      <x:c r="I19" s="24" t="str">
        <x:v>maximum across years</x:v>
      </x:c>
      <x:c r="J19" s="24" t="str">
        <x:v>權益總計</x:v>
      </x:c>
      <x:c r="K19" s="24" t="str">
        <x:v>2023, 2024, 2025</x:v>
      </x:c>
      <x:c r="L19" s="24" t="str">
        <x:v>年</x:v>
      </x:c>
      <x:c r="M19" s="24" t="str">
        <x:v>Which {Time: year} had the {Logic: highest} {Concept}?</x:v>
      </x:c>
      <x:c r="N19" s="24" t="str">
        <x:v>Eligible</x:v>
      </x:c>
      <x:c r="O19" s="24" t="str">
        <x:v>Researcher-designed from simplified UMC financial statements</x:v>
      </x:c>
      <x:c r="P19" s="24" t="str">
        <x:v>Approved</x:v>
      </x:c>
      <x:c r="Q19" s="24" t="str">
        <x:v>已修訂後通過：權益總計為時點項目，明確限定各年12月31日。</x:v>
      </x:c>
    </x:row>
    <x:row r="20" ht="26.399999618530273" hidden="0" customHeight="1">
      <x:c r="A20" s="24" t="str">
        <x:v>CP06</x:v>
      </x:c>
      <x:c r="B20" s="24" t="str">
        <x:v>Comparison</x:v>
      </x:c>
      <x:c r="C20" s="24" t="str">
        <x:v>Medium</x:v>
      </x:c>
      <x:c r="D20" s="24" t="str">
        <x:v>112至114年各年12月31日，聯電哪一年的流動資產最低？</x:v>
      </x:c>
      <x:c r="E20" s="24" t="str">
        <x:v>Which year had UMC's lowest current assets from 2023 to 2025?</x:v>
      </x:c>
      <x:c r="F20" s="24" t="str">
        <x:v>112至114年12月31日</x:v>
      </x:c>
      <x:c r="G20" s="24" t="str">
        <x:v>流動資產</x:v>
      </x:c>
      <x:c r="H20" s="24" t="str"/>
      <x:c r="I20" s="24" t="str">
        <x:v>minimum across years</x:v>
      </x:c>
      <x:c r="J20" s="24" t="str">
        <x:v>流動資產</x:v>
      </x:c>
      <x:c r="K20" s="24" t="str">
        <x:v>2023, 2024, 2025</x:v>
      </x:c>
      <x:c r="L20" s="24" t="str">
        <x:v>年</x:v>
      </x:c>
      <x:c r="M20" s="24" t="str">
        <x:v>Which {Time: year} had the {Logic: lowest} {Concept}?</x:v>
      </x:c>
      <x:c r="N20" s="24" t="str">
        <x:v>Eligible</x:v>
      </x:c>
      <x:c r="O20" s="24" t="str">
        <x:v>Researcher-designed from simplified UMC financial statements</x:v>
      </x:c>
      <x:c r="P20" s="24" t="str">
        <x:v>Approved</x:v>
      </x:c>
      <x:c r="Q20" s="24" t="str">
        <x:v>已修訂後通過：流動資產為時點項目，明確限定各年12月31日。</x:v>
      </x:c>
    </x:row>
    <x:row r="21" ht="26.399999618530273" hidden="0" customHeight="1">
      <x:c r="A21" s="24" t="str">
        <x:v>CP07</x:v>
      </x:c>
      <x:c r="B21" s="24" t="str">
        <x:v>Comparison</x:v>
      </x:c>
      <x:c r="C21" s="24" t="str">
        <x:v>Medium</x:v>
      </x:c>
      <x:c r="D21" s="24" t="str">
        <x:v>112至114年度中，聯電哪一年的營業費用最高？</x:v>
      </x:c>
      <x:c r="E21" s="24" t="str">
        <x:v>Which year had UMC's highest operating expenses from 2023 to 2025?</x:v>
      </x:c>
      <x:c r="F21" s="24" t="str">
        <x:v>112至114年度</x:v>
      </x:c>
      <x:c r="G21" s="24" t="str">
        <x:v>營業費用</x:v>
      </x:c>
      <x:c r="H21" s="24" t="str"/>
      <x:c r="I21" s="24" t="str">
        <x:v>maximum across years</x:v>
      </x:c>
      <x:c r="J21" s="24" t="str">
        <x:v>營業費用</x:v>
      </x:c>
      <x:c r="K21" s="24" t="str">
        <x:v>2023, 2024, 2025</x:v>
      </x:c>
      <x:c r="L21" s="24" t="str">
        <x:v>年</x:v>
      </x:c>
      <x:c r="M21" s="24" t="str">
        <x:v>Which {Time: year} had the {Logic: highest} {Concept}?</x:v>
      </x:c>
      <x:c r="N21" s="24" t="str">
        <x:v>Eligible</x:v>
      </x:c>
      <x:c r="O21" s="24" t="str">
        <x:v>Researcher-designed from simplified UMC financial statements</x:v>
      </x:c>
      <x:c r="P21" s="24" t="str">
        <x:v>Approved</x:v>
      </x:c>
      <x:c r="Q21" s="24" t="str">
        <x:v>第一輪人工審查通過：題型、範圍、必要科目與年度皆符合 Simplified-FS Corpus。</x:v>
      </x:c>
    </x:row>
    <x:row r="22" ht="26.399999618530273" hidden="0" customHeight="1">
      <x:c r="A22" s="24" t="str">
        <x:v>CP08</x:v>
      </x:c>
      <x:c r="B22" s="24" t="str">
        <x:v>Comparison</x:v>
      </x:c>
      <x:c r="C22" s="24" t="str">
        <x:v>Hard</x:v>
      </x:c>
      <x:c r="D22" s="24" t="str">
        <x:v>112至114年度中，聯電哪一年的其他綜合損益淨額最高？</x:v>
      </x:c>
      <x:c r="E22" s="24" t="str">
        <x:v>Which year had UMC's highest net other comprehensive income from 2023 to 2025?</x:v>
      </x:c>
      <x:c r="F22" s="24" t="str">
        <x:v>112至114年度</x:v>
      </x:c>
      <x:c r="G22" s="24" t="str">
        <x:v>其他綜合損益（淨額）</x:v>
      </x:c>
      <x:c r="H22" s="24" t="str"/>
      <x:c r="I22" s="24" t="str">
        <x:v>maximum across years</x:v>
      </x:c>
      <x:c r="J22" s="24" t="str">
        <x:v>其他綜合損益（淨額）</x:v>
      </x:c>
      <x:c r="K22" s="24" t="str">
        <x:v>2023, 2024, 2025</x:v>
      </x:c>
      <x:c r="L22" s="24" t="str">
        <x:v>年</x:v>
      </x:c>
      <x:c r="M22" s="24" t="str">
        <x:v>Which {Time: year} had the {Logic: highest} {Concept}?</x:v>
      </x:c>
      <x:c r="N22" s="24" t="str">
        <x:v>Eligible</x:v>
      </x:c>
      <x:c r="O22" s="24" t="str">
        <x:v>Researcher-designed from simplified UMC financial statements</x:v>
      </x:c>
      <x:c r="P22" s="24" t="str">
        <x:v>Approved</x:v>
      </x:c>
      <x:c r="Q22" s="24" t="str">
        <x:v>第一輪人工審查通過：題型、範圍、必要科目與年度皆符合 Simplified-FS Corpus。</x:v>
      </x:c>
    </x:row>
    <x:row r="23" ht="26.399999618530273" hidden="0" customHeight="1">
      <x:c r="A23" s="24" t="str">
        <x:v>CP09</x:v>
      </x:c>
      <x:c r="B23" s="24" t="str">
        <x:v>Comparison</x:v>
      </x:c>
      <x:c r="C23" s="24" t="str">
        <x:v>Hard</x:v>
      </x:c>
      <x:c r="D23" s="24" t="str">
        <x:v>112至114年度中，聯電哪一年的淨利歸屬於非控制權益最低？</x:v>
      </x:c>
      <x:c r="E23" s="24" t="str">
        <x:v>Which year had UMC's lowest net profit attributable to non-controlling interests from 2023 to 2025?</x:v>
      </x:c>
      <x:c r="F23" s="24" t="str">
        <x:v>112至114年度</x:v>
      </x:c>
      <x:c r="G23" s="24" t="str">
        <x:v>淨利歸屬於非控制權益</x:v>
      </x:c>
      <x:c r="H23" s="24" t="str"/>
      <x:c r="I23" s="24" t="str">
        <x:v>minimum across years</x:v>
      </x:c>
      <x:c r="J23" s="24" t="str">
        <x:v>淨利歸屬於非控制權益</x:v>
      </x:c>
      <x:c r="K23" s="24" t="str">
        <x:v>2023, 2024, 2025</x:v>
      </x:c>
      <x:c r="L23" s="24" t="str">
        <x:v>年</x:v>
      </x:c>
      <x:c r="M23" s="24" t="str">
        <x:v>Which {Time: year} had the {Logic: lowest} {Concept}?</x:v>
      </x:c>
      <x:c r="N23" s="24" t="str">
        <x:v>Eligible</x:v>
      </x:c>
      <x:c r="O23" s="24" t="str">
        <x:v>Researcher-designed from simplified UMC financial statements</x:v>
      </x:c>
      <x:c r="P23" s="24" t="str">
        <x:v>Approved</x:v>
      </x:c>
      <x:c r="Q23" s="24" t="str">
        <x:v>第一輪人工審查通過：題型、範圍、必要科目與年度皆符合 Simplified-FS Corpus。</x:v>
      </x:c>
    </x:row>
    <x:row r="24" ht="26.399999618530273" hidden="0" customHeight="1">
      <x:c r="A24" s="24" t="str">
        <x:v>CP10</x:v>
      </x:c>
      <x:c r="B24" s="24" t="str">
        <x:v>Comparison</x:v>
      </x:c>
      <x:c r="C24" s="24" t="str">
        <x:v>Hard</x:v>
      </x:c>
      <x:c r="D24" s="24" t="str">
        <x:v>112至114年各年12月31日，聯電哪一年的歸屬於母公司業主之權益合計最高？</x:v>
      </x:c>
      <x:c r="E24" s="24" t="str">
        <x:v>Which year had UMC's highest equity attributable to owners of the parent from 2023 to 2025?</x:v>
      </x:c>
      <x:c r="F24" s="24" t="str">
        <x:v>112至114年12月31日</x:v>
      </x:c>
      <x:c r="G24" s="24" t="str">
        <x:v>歸屬於母公司業主之權益合計</x:v>
      </x:c>
      <x:c r="H24" s="24" t="str"/>
      <x:c r="I24" s="24" t="str">
        <x:v>maximum across years</x:v>
      </x:c>
      <x:c r="J24" s="24" t="str">
        <x:v>歸屬於母公司業主之權益合計</x:v>
      </x:c>
      <x:c r="K24" s="24" t="str">
        <x:v>2023, 2024, 2025</x:v>
      </x:c>
      <x:c r="L24" s="24" t="str">
        <x:v>年</x:v>
      </x:c>
      <x:c r="M24" s="24" t="str">
        <x:v>Which {Time: year} had the {Logic: highest} {Concept}?</x:v>
      </x:c>
      <x:c r="N24" s="24" t="str">
        <x:v>Eligible</x:v>
      </x:c>
      <x:c r="O24" s="24" t="str">
        <x:v>Researcher-designed from simplified UMC financial statements</x:v>
      </x:c>
      <x:c r="P24" s="24" t="str">
        <x:v>Approved</x:v>
      </x:c>
      <x:c r="Q24" s="24" t="str">
        <x:v>已修訂後通過：權益為時點項目，明確限定各年12月31日。</x:v>
      </x:c>
    </x:row>
    <x:row r="25" ht="26.399999618530273" hidden="0" customHeight="1">
      <x:c r="A25" s="24" t="str">
        <x:v>GR01</x:v>
      </x:c>
      <x:c r="B25" s="24" t="str">
        <x:v>Growth_Rate</x:v>
      </x:c>
      <x:c r="C25" s="24" t="str">
        <x:v>Easy</x:v>
      </x:c>
      <x:c r="D25" s="24" t="str">
        <x:v>聯電113年度營業收入相較112年度的成長率為何？</x:v>
      </x:c>
      <x:c r="E25" s="24" t="str">
        <x:v>What was the growth rate of UMC's operating revenue from 2023 to 2024?</x:v>
      </x:c>
      <x:c r="F25" s="24" t="str">
        <x:v>112至113年度</x:v>
      </x:c>
      <x:c r="G25" s="24" t="str">
        <x:v>營業收入</x:v>
      </x:c>
      <x:c r="H25" s="24" t="str"/>
      <x:c r="I25" s="24" t="str">
        <x:v>(new-old)/old</x:v>
      </x:c>
      <x:c r="J25" s="24" t="str">
        <x:v>營業收入</x:v>
      </x:c>
      <x:c r="K25" s="24" t="str">
        <x:v>2023, 2024</x:v>
      </x:c>
      <x:c r="L25" s="24" t="str">
        <x:v>%</x:v>
      </x:c>
      <x:c r="M25" s="24" t="str">
        <x:v>What was the {Logic: growth rate} of {Concept} from {Time A} to {Time B}?</x:v>
      </x:c>
      <x:c r="N25" s="24" t="str">
        <x:v>Eligible</x:v>
      </x:c>
      <x:c r="O25" s="24" t="str">
        <x:v>Researcher-designed from simplified UMC financial statements</x:v>
      </x:c>
      <x:c r="P25" s="24" t="str">
        <x:v>Approved</x:v>
      </x:c>
      <x:c r="Q25" s="24" t="str">
        <x:v>第一輪人工審查通過：題型、範圍、必要科目與年度皆符合 Simplified-FS Corpus。</x:v>
      </x:c>
    </x:row>
    <x:row r="26" ht="26.399999618530273" hidden="0" customHeight="1">
      <x:c r="A26" s="24" t="str">
        <x:v>GR02</x:v>
      </x:c>
      <x:c r="B26" s="24" t="str">
        <x:v>Growth_Rate</x:v>
      </x:c>
      <x:c r="C26" s="24" t="str">
        <x:v>Easy</x:v>
      </x:c>
      <x:c r="D26" s="24" t="str">
        <x:v>聯電114年度營業收入相較113年度的成長率為何？</x:v>
      </x:c>
      <x:c r="E26" s="24" t="str">
        <x:v>What was the growth rate of UMC's operating revenue from 2024 to 2025?</x:v>
      </x:c>
      <x:c r="F26" s="24" t="str">
        <x:v>113至114年度</x:v>
      </x:c>
      <x:c r="G26" s="24" t="str">
        <x:v>營業收入</x:v>
      </x:c>
      <x:c r="H26" s="24" t="str"/>
      <x:c r="I26" s="24" t="str">
        <x:v>(new-old)/old</x:v>
      </x:c>
      <x:c r="J26" s="24" t="str">
        <x:v>營業收入</x:v>
      </x:c>
      <x:c r="K26" s="24" t="str">
        <x:v>2024, 2025</x:v>
      </x:c>
      <x:c r="L26" s="24" t="str">
        <x:v>%</x:v>
      </x:c>
      <x:c r="M26" s="24" t="str">
        <x:v>What was the {Logic: growth rate} of {Concept} from {Time A} to {Time B}?</x:v>
      </x:c>
      <x:c r="N26" s="24" t="str">
        <x:v>Eligible</x:v>
      </x:c>
      <x:c r="O26" s="24" t="str">
        <x:v>Researcher-designed from simplified UMC financial statements</x:v>
      </x:c>
      <x:c r="P26" s="24" t="str">
        <x:v>Approved</x:v>
      </x:c>
      <x:c r="Q26" s="24" t="str">
        <x:v>第一輪人工審查通過：題型、範圍、必要科目與年度皆符合 Simplified-FS Corpus。</x:v>
      </x:c>
    </x:row>
    <x:row r="27" ht="26.399999618530273" hidden="0" customHeight="1">
      <x:c r="A27" s="24" t="str">
        <x:v>GR03</x:v>
      </x:c>
      <x:c r="B27" s="24" t="str">
        <x:v>Growth_Rate</x:v>
      </x:c>
      <x:c r="C27" s="24" t="str">
        <x:v>Easy</x:v>
      </x:c>
      <x:c r="D27" s="24" t="str">
        <x:v>聯電114年資產總計相較113年的成長率為何？</x:v>
      </x:c>
      <x:c r="E27" s="24" t="str">
        <x:v>What was the growth rate of UMC's total assets from 2024 to 2025?</x:v>
      </x:c>
      <x:c r="F27" s="24" t="str">
        <x:v>113至114年12月31日</x:v>
      </x:c>
      <x:c r="G27" s="24" t="str">
        <x:v>資產總計</x:v>
      </x:c>
      <x:c r="H27" s="24" t="str"/>
      <x:c r="I27" s="24" t="str">
        <x:v>(new-old)/old</x:v>
      </x:c>
      <x:c r="J27" s="24" t="str">
        <x:v>資產總計</x:v>
      </x:c>
      <x:c r="K27" s="24" t="str">
        <x:v>2024, 2025</x:v>
      </x:c>
      <x:c r="L27" s="24" t="str">
        <x:v>%</x:v>
      </x:c>
      <x:c r="M27" s="24" t="str">
        <x:v>What was the {Logic: growth rate} of {Concept} from {Time A} to {Time B}?</x:v>
      </x:c>
      <x:c r="N27" s="24" t="str">
        <x:v>Eligible</x:v>
      </x:c>
      <x:c r="O27" s="24" t="str">
        <x:v>Researcher-designed from simplified UMC financial statements</x:v>
      </x:c>
      <x:c r="P27" s="24" t="str">
        <x:v>Approved</x:v>
      </x:c>
      <x:c r="Q27" s="24" t="str">
        <x:v>第一輪人工審查通過：題型、範圍、必要科目與年度皆符合 Simplified-FS Corpus。</x:v>
      </x:c>
    </x:row>
    <x:row r="28" ht="26.399999618530273" hidden="0" customHeight="1">
      <x:c r="A28" s="24" t="str">
        <x:v>GR04</x:v>
      </x:c>
      <x:c r="B28" s="24" t="str">
        <x:v>Growth_Rate</x:v>
      </x:c>
      <x:c r="C28" s="24" t="str">
        <x:v>Medium</x:v>
      </x:c>
      <x:c r="D28" s="24" t="str">
        <x:v>聯電113年負債總計相較112年的成長率為何？</x:v>
      </x:c>
      <x:c r="E28" s="24" t="str">
        <x:v>What was the growth rate of UMC's total liabilities from 2023 to 2024?</x:v>
      </x:c>
      <x:c r="F28" s="24" t="str">
        <x:v>112至113年12月31日</x:v>
      </x:c>
      <x:c r="G28" s="24" t="str">
        <x:v>負債總計</x:v>
      </x:c>
      <x:c r="H28" s="24" t="str"/>
      <x:c r="I28" s="24" t="str">
        <x:v>(new-old)/old</x:v>
      </x:c>
      <x:c r="J28" s="24" t="str">
        <x:v>負債總計</x:v>
      </x:c>
      <x:c r="K28" s="24" t="str">
        <x:v>2023, 2024</x:v>
      </x:c>
      <x:c r="L28" s="24" t="str">
        <x:v>%</x:v>
      </x:c>
      <x:c r="M28" s="24" t="str">
        <x:v>What was the {Logic: growth rate} of {Concept} from {Time A} to {Time B}?</x:v>
      </x:c>
      <x:c r="N28" s="24" t="str">
        <x:v>Eligible</x:v>
      </x:c>
      <x:c r="O28" s="24" t="str">
        <x:v>Researcher-designed from simplified UMC financial statements</x:v>
      </x:c>
      <x:c r="P28" s="24" t="str">
        <x:v>Approved</x:v>
      </x:c>
      <x:c r="Q28" s="24" t="str">
        <x:v>第一輪人工審查通過：題型、範圍、必要科目與年度皆符合 Simplified-FS Corpus。</x:v>
      </x:c>
    </x:row>
    <x:row r="29" ht="26.399999618530273" hidden="0" customHeight="1">
      <x:c r="A29" s="24" t="str">
        <x:v>GR05</x:v>
      </x:c>
      <x:c r="B29" s="24" t="str">
        <x:v>Growth_Rate</x:v>
      </x:c>
      <x:c r="C29" s="24" t="str">
        <x:v>Medium</x:v>
      </x:c>
      <x:c r="D29" s="24" t="str">
        <x:v>聯電114年度營業利益相較113年度的成長率為何？</x:v>
      </x:c>
      <x:c r="E29" s="24" t="str">
        <x:v>What was the growth rate of UMC's operating income from 2024 to 2025?</x:v>
      </x:c>
      <x:c r="F29" s="24" t="str">
        <x:v>113至114年度</x:v>
      </x:c>
      <x:c r="G29" s="24" t="str">
        <x:v>營業利益（損失）</x:v>
      </x:c>
      <x:c r="H29" s="24" t="str"/>
      <x:c r="I29" s="24" t="str">
        <x:v>(new-old)/old</x:v>
      </x:c>
      <x:c r="J29" s="24" t="str">
        <x:v>營業利益（損失）</x:v>
      </x:c>
      <x:c r="K29" s="24" t="str">
        <x:v>2024, 2025</x:v>
      </x:c>
      <x:c r="L29" s="24" t="str">
        <x:v>%</x:v>
      </x:c>
      <x:c r="M29" s="24" t="str">
        <x:v>What was the {Logic: growth rate} of {Concept} from {Time A} to {Time B}?</x:v>
      </x:c>
      <x:c r="N29" s="24" t="str">
        <x:v>Eligible</x:v>
      </x:c>
      <x:c r="O29" s="24" t="str">
        <x:v>Researcher-designed from simplified UMC financial statements</x:v>
      </x:c>
      <x:c r="P29" s="24" t="str">
        <x:v>Approved</x:v>
      </x:c>
      <x:c r="Q29" s="24" t="str">
        <x:v>第一輪人工審查通過：題型、範圍、必要科目與年度皆符合 Simplified-FS Corpus。</x:v>
      </x:c>
    </x:row>
    <x:row r="30" ht="26.399999618530273" hidden="0" customHeight="1">
      <x:c r="A30" s="24" t="str">
        <x:v>GR06</x:v>
      </x:c>
      <x:c r="B30" s="24" t="str">
        <x:v>Growth_Rate</x:v>
      </x:c>
      <x:c r="C30" s="24" t="str">
        <x:v>Medium</x:v>
      </x:c>
      <x:c r="D30" s="24" t="str">
        <x:v>聯電113年度營業毛利相較112年度的成長率為何？</x:v>
      </x:c>
      <x:c r="E30" s="24" t="str">
        <x:v>What was the growth rate of UMC's gross profit from 2023 to 2024?</x:v>
      </x:c>
      <x:c r="F30" s="24" t="str">
        <x:v>112至113年度</x:v>
      </x:c>
      <x:c r="G30" s="24" t="str">
        <x:v>營業毛利（毛損）</x:v>
      </x:c>
      <x:c r="H30" s="24" t="str"/>
      <x:c r="I30" s="24" t="str">
        <x:v>(new-old)/old</x:v>
      </x:c>
      <x:c r="J30" s="24" t="str">
        <x:v>營業毛利（毛損）</x:v>
      </x:c>
      <x:c r="K30" s="24" t="str">
        <x:v>2023, 2024</x:v>
      </x:c>
      <x:c r="L30" s="24" t="str">
        <x:v>%</x:v>
      </x:c>
      <x:c r="M30" s="24" t="str">
        <x:v>What was the {Logic: growth rate} of {Concept} from {Time A} to {Time B}?</x:v>
      </x:c>
      <x:c r="N30" s="24" t="str">
        <x:v>Eligible</x:v>
      </x:c>
      <x:c r="O30" s="24" t="str">
        <x:v>Researcher-designed from simplified UMC financial statements</x:v>
      </x:c>
      <x:c r="P30" s="24" t="str">
        <x:v>Approved</x:v>
      </x:c>
      <x:c r="Q30" s="24" t="str">
        <x:v>第一輪人工審查通過：題型、範圍、必要科目與年度皆符合 Simplified-FS Corpus。</x:v>
      </x:c>
    </x:row>
    <x:row r="31" ht="26.399999618530273" hidden="0" customHeight="1">
      <x:c r="A31" s="24" t="str">
        <x:v>GR07</x:v>
      </x:c>
      <x:c r="B31" s="24" t="str">
        <x:v>Growth_Rate</x:v>
      </x:c>
      <x:c r="C31" s="24" t="str">
        <x:v>Medium</x:v>
      </x:c>
      <x:c r="D31" s="24" t="str">
        <x:v>聯電114年度營業費用相較113年度的成長率為何？</x:v>
      </x:c>
      <x:c r="E31" s="24" t="str">
        <x:v>What was the growth rate of UMC's operating expenses from 2024 to 2025?</x:v>
      </x:c>
      <x:c r="F31" s="24" t="str">
        <x:v>113至114年度</x:v>
      </x:c>
      <x:c r="G31" s="24" t="str">
        <x:v>營業費用</x:v>
      </x:c>
      <x:c r="H31" s="24" t="str"/>
      <x:c r="I31" s="24" t="str">
        <x:v>(new-old)/old</x:v>
      </x:c>
      <x:c r="J31" s="24" t="str">
        <x:v>營業費用</x:v>
      </x:c>
      <x:c r="K31" s="24" t="str">
        <x:v>2024, 2025</x:v>
      </x:c>
      <x:c r="L31" s="24" t="str">
        <x:v>%</x:v>
      </x:c>
      <x:c r="M31" s="24" t="str">
        <x:v>What was the {Logic: growth rate} of {Concept} from {Time A} to {Time B}?</x:v>
      </x:c>
      <x:c r="N31" s="24" t="str">
        <x:v>Eligible</x:v>
      </x:c>
      <x:c r="O31" s="24" t="str">
        <x:v>Researcher-designed from simplified UMC financial statements</x:v>
      </x:c>
      <x:c r="P31" s="24" t="str">
        <x:v>Approved</x:v>
      </x:c>
      <x:c r="Q31" s="24" t="str">
        <x:v>第一輪人工審查通過：題型、範圍、必要科目與年度皆符合 Simplified-FS Corpus。</x:v>
      </x:c>
    </x:row>
    <x:row r="32" ht="26.399999618530273" hidden="0" customHeight="1">
      <x:c r="A32" s="24" t="str">
        <x:v>GR08</x:v>
      </x:c>
      <x:c r="B32" s="24" t="str">
        <x:v>Growth_Rate</x:v>
      </x:c>
      <x:c r="C32" s="24" t="str">
        <x:v>Hard</x:v>
      </x:c>
      <x:c r="D32" s="24" t="str">
        <x:v>聯電113年權益總計相較112年的成長率為何？</x:v>
      </x:c>
      <x:c r="E32" s="24" t="str">
        <x:v>What was the growth rate of UMC's total equity from 2023 to 2024?</x:v>
      </x:c>
      <x:c r="F32" s="24" t="str">
        <x:v>112至113年12月31日</x:v>
      </x:c>
      <x:c r="G32" s="24" t="str">
        <x:v>權益總計</x:v>
      </x:c>
      <x:c r="H32" s="24" t="str"/>
      <x:c r="I32" s="24" t="str">
        <x:v>(new-old)/old</x:v>
      </x:c>
      <x:c r="J32" s="24" t="str">
        <x:v>權益總計</x:v>
      </x:c>
      <x:c r="K32" s="24" t="str">
        <x:v>2023, 2024</x:v>
      </x:c>
      <x:c r="L32" s="24" t="str">
        <x:v>%</x:v>
      </x:c>
      <x:c r="M32" s="24" t="str">
        <x:v>What was the {Logic: growth rate} of {Concept} from {Time A} to {Time B}?</x:v>
      </x:c>
      <x:c r="N32" s="24" t="str">
        <x:v>Eligible</x:v>
      </x:c>
      <x:c r="O32" s="24" t="str">
        <x:v>Researcher-designed from simplified UMC financial statements</x:v>
      </x:c>
      <x:c r="P32" s="24" t="str">
        <x:v>Approved</x:v>
      </x:c>
      <x:c r="Q32" s="24" t="str">
        <x:v>第一輪人工審查通過：題型、範圍、必要科目與年度皆符合 Simplified-FS Corpus。</x:v>
      </x:c>
    </x:row>
    <x:row r="33" ht="26.399999618530273" hidden="0" customHeight="1">
      <x:c r="A33" s="24" t="str">
        <x:v>GR09</x:v>
      </x:c>
      <x:c r="B33" s="24" t="str">
        <x:v>Growth_Rate</x:v>
      </x:c>
      <x:c r="C33" s="24" t="str">
        <x:v>Hard</x:v>
      </x:c>
      <x:c r="D33" s="24" t="str">
        <x:v>聯電114年度本期淨利相較113年度的成長率為何？</x:v>
      </x:c>
      <x:c r="E33" s="24" t="str">
        <x:v>What was the growth rate of UMC's net profit from 2024 to 2025?</x:v>
      </x:c>
      <x:c r="F33" s="24" t="str">
        <x:v>113至114年度</x:v>
      </x:c>
      <x:c r="G33" s="24" t="str">
        <x:v>本期淨利（淨損）</x:v>
      </x:c>
      <x:c r="H33" s="24" t="str"/>
      <x:c r="I33" s="24" t="str">
        <x:v>(new-old)/old</x:v>
      </x:c>
      <x:c r="J33" s="24" t="str">
        <x:v>本期淨利（淨損）</x:v>
      </x:c>
      <x:c r="K33" s="24" t="str">
        <x:v>2024, 2025</x:v>
      </x:c>
      <x:c r="L33" s="24" t="str">
        <x:v>%</x:v>
      </x:c>
      <x:c r="M33" s="24" t="str">
        <x:v>What was the {Logic: growth rate} of {Concept} from {Time A} to {Time B}?</x:v>
      </x:c>
      <x:c r="N33" s="24" t="str">
        <x:v>Eligible</x:v>
      </x:c>
      <x:c r="O33" s="24" t="str">
        <x:v>Researcher-designed from simplified UMC financial statements</x:v>
      </x:c>
      <x:c r="P33" s="24" t="str">
        <x:v>Approved</x:v>
      </x:c>
      <x:c r="Q33" s="24" t="str">
        <x:v>第一輪人工審查通過：題型、範圍、必要科目與年度皆符合 Simplified-FS Corpus。</x:v>
      </x:c>
    </x:row>
    <x:row r="34" ht="26.399999618530273" hidden="0" customHeight="1">
      <x:c r="A34" s="24" t="str">
        <x:v>GR10</x:v>
      </x:c>
      <x:c r="B34" s="24" t="str">
        <x:v>Growth_Rate</x:v>
      </x:c>
      <x:c r="C34" s="24" t="str">
        <x:v>Hard</x:v>
      </x:c>
      <x:c r="D34" s="24" t="str">
        <x:v>聯電114年度基本每股盈餘相較113年度的成長率為何？</x:v>
      </x:c>
      <x:c r="E34" s="24" t="str">
        <x:v>What was the growth rate of UMC's basic earnings per share from 2024 to 2025?</x:v>
      </x:c>
      <x:c r="F34" s="24" t="str">
        <x:v>113至114年度</x:v>
      </x:c>
      <x:c r="G34" s="24" t="str">
        <x:v>基本每股盈餘（元）</x:v>
      </x:c>
      <x:c r="H34" s="24" t="str"/>
      <x:c r="I34" s="24" t="str">
        <x:v>(new-old)/old</x:v>
      </x:c>
      <x:c r="J34" s="24" t="str">
        <x:v>基本每股盈餘（元）</x:v>
      </x:c>
      <x:c r="K34" s="24" t="str">
        <x:v>2024, 2025</x:v>
      </x:c>
      <x:c r="L34" s="24" t="str">
        <x:v>%</x:v>
      </x:c>
      <x:c r="M34" s="24" t="str">
        <x:v>What was the {Logic: growth rate} of {Concept} from {Time A} to {Time B}?</x:v>
      </x:c>
      <x:c r="N34" s="24" t="str">
        <x:v>Eligible</x:v>
      </x:c>
      <x:c r="O34" s="24" t="str">
        <x:v>Researcher-designed from simplified UMC financial statements</x:v>
      </x:c>
      <x:c r="P34" s="24" t="str">
        <x:v>Approved</x:v>
      </x:c>
      <x:c r="Q34" s="24" t="str">
        <x:v>第一輪人工審查通過：題型、範圍、必要科目與年度皆符合 Simplified-FS Corpus。</x:v>
      </x:c>
    </x:row>
    <x:row r="35" ht="26.399999618530273" hidden="0" customHeight="1">
      <x:c r="A35" s="24" t="str">
        <x:v>RT01</x:v>
      </x:c>
      <x:c r="B35" s="24" t="str">
        <x:v>Ratio</x:v>
      </x:c>
      <x:c r="C35" s="24" t="str">
        <x:v>Easy</x:v>
      </x:c>
      <x:c r="D35" s="24" t="str">
        <x:v>聯電114年流動資產占資產總計的比例為何？</x:v>
      </x:c>
      <x:c r="E35" s="24" t="str">
        <x:v>What percentage of UMC's total assets were current assets in 2025?</x:v>
      </x:c>
      <x:c r="F35" s="24" t="str">
        <x:v>114年12月31日</x:v>
      </x:c>
      <x:c r="G35" s="24" t="str">
        <x:v>流動資產 / 資產總計</x:v>
      </x:c>
      <x:c r="H35" s="24" t="str"/>
      <x:c r="I35" s="24" t="str">
        <x:v>part/total</x:v>
      </x:c>
      <x:c r="J35" s="24" t="str">
        <x:v>流動資產；資產總計</x:v>
      </x:c>
      <x:c r="K35" s="24" t="str">
        <x:v>2025</x:v>
      </x:c>
      <x:c r="L35" s="24" t="str">
        <x:v>%</x:v>
      </x:c>
      <x:c r="M35" s="24" t="str">
        <x:v>What is the {Logic: ratio} of {Concept A} to {Concept B} in {Time}?</x:v>
      </x:c>
      <x:c r="N35" s="24" t="str">
        <x:v>Eligible</x:v>
      </x:c>
      <x:c r="O35" s="24" t="str">
        <x:v>Researcher-designed from simplified UMC financial statements</x:v>
      </x:c>
      <x:c r="P35" s="24" t="str">
        <x:v>Approved</x:v>
      </x:c>
      <x:c r="Q35" s="24" t="str">
        <x:v>第一輪人工審查通過：題型、範圍、必要科目與年度皆符合 Simplified-FS Corpus。</x:v>
      </x:c>
    </x:row>
    <x:row r="36" ht="26.399999618530273" hidden="0" customHeight="1">
      <x:c r="A36" s="24" t="str">
        <x:v>RT02</x:v>
      </x:c>
      <x:c r="B36" s="24" t="str">
        <x:v>Ratio</x:v>
      </x:c>
      <x:c r="C36" s="24" t="str">
        <x:v>Easy</x:v>
      </x:c>
      <x:c r="D36" s="24" t="str">
        <x:v>聯電114年流動負債占負債總計的比例為何？</x:v>
      </x:c>
      <x:c r="E36" s="24" t="str">
        <x:v>What percentage of UMC's total liabilities were current liabilities in 2025?</x:v>
      </x:c>
      <x:c r="F36" s="24" t="str">
        <x:v>114年12月31日</x:v>
      </x:c>
      <x:c r="G36" s="24" t="str">
        <x:v>流動負債 / 負債總計</x:v>
      </x:c>
      <x:c r="H36" s="24" t="str"/>
      <x:c r="I36" s="24" t="str">
        <x:v>part/total</x:v>
      </x:c>
      <x:c r="J36" s="24" t="str">
        <x:v>流動負債；負債總計</x:v>
      </x:c>
      <x:c r="K36" s="24" t="str">
        <x:v>2025</x:v>
      </x:c>
      <x:c r="L36" s="24" t="str">
        <x:v>%</x:v>
      </x:c>
      <x:c r="M36" s="24" t="str">
        <x:v>What is the {Logic: ratio} of {Concept A} to {Concept B} in {Time}?</x:v>
      </x:c>
      <x:c r="N36" s="24" t="str">
        <x:v>Eligible</x:v>
      </x:c>
      <x:c r="O36" s="24" t="str">
        <x:v>Researcher-designed from simplified UMC financial statements</x:v>
      </x:c>
      <x:c r="P36" s="24" t="str">
        <x:v>Approved</x:v>
      </x:c>
      <x:c r="Q36" s="24" t="str">
        <x:v>第一輪人工審查通過：題型、範圍、必要科目與年度皆符合 Simplified-FS Corpus。</x:v>
      </x:c>
    </x:row>
    <x:row r="37" ht="26.399999618530273" hidden="0" customHeight="1">
      <x:c r="A37" s="24" t="str">
        <x:v>RT03</x:v>
      </x:c>
      <x:c r="B37" s="24" t="str">
        <x:v>Ratio</x:v>
      </x:c>
      <x:c r="C37" s="24" t="str">
        <x:v>Easy</x:v>
      </x:c>
      <x:c r="D37" s="24" t="str">
        <x:v>聯電114年度營業毛利占營業收入的比例為何？</x:v>
      </x:c>
      <x:c r="E37" s="24" t="str">
        <x:v>What was UMC's gross profit margin in 2025?</x:v>
      </x:c>
      <x:c r="F37" s="24" t="str">
        <x:v>114年度</x:v>
      </x:c>
      <x:c r="G37" s="24" t="str">
        <x:v>營業毛利 / 營業收入</x:v>
      </x:c>
      <x:c r="H37" s="24" t="str"/>
      <x:c r="I37" s="24" t="str">
        <x:v>part/total</x:v>
      </x:c>
      <x:c r="J37" s="24" t="str">
        <x:v>營業毛利（毛損）；營業收入</x:v>
      </x:c>
      <x:c r="K37" s="24" t="str">
        <x:v>2025</x:v>
      </x:c>
      <x:c r="L37" s="24" t="str">
        <x:v>%</x:v>
      </x:c>
      <x:c r="M37" s="24" t="str">
        <x:v>What is the {Logic: ratio} of {Concept A} to {Concept B} in {Time}?</x:v>
      </x:c>
      <x:c r="N37" s="24" t="str">
        <x:v>Eligible</x:v>
      </x:c>
      <x:c r="O37" s="24" t="str">
        <x:v>Researcher-designed from simplified UMC financial statements</x:v>
      </x:c>
      <x:c r="P37" s="24" t="str">
        <x:v>Approved</x:v>
      </x:c>
      <x:c r="Q37" s="24" t="str">
        <x:v>第一輪人工審查通過：題型、範圍、必要科目與年度皆符合 Simplified-FS Corpus。</x:v>
      </x:c>
    </x:row>
    <x:row r="38" ht="26.399999618530273" hidden="0" customHeight="1">
      <x:c r="A38" s="24" t="str">
        <x:v>RT04</x:v>
      </x:c>
      <x:c r="B38" s="24" t="str">
        <x:v>Ratio</x:v>
      </x:c>
      <x:c r="C38" s="24" t="str">
        <x:v>Medium</x:v>
      </x:c>
      <x:c r="D38" s="24" t="str">
        <x:v>聯電113年度營業利益占營業收入的比例為何？</x:v>
      </x:c>
      <x:c r="E38" s="24" t="str">
        <x:v>What was UMC's operating margin in 2024?</x:v>
      </x:c>
      <x:c r="F38" s="24" t="str">
        <x:v>113年度</x:v>
      </x:c>
      <x:c r="G38" s="24" t="str">
        <x:v>營業利益 / 營業收入</x:v>
      </x:c>
      <x:c r="H38" s="24" t="str"/>
      <x:c r="I38" s="24" t="str">
        <x:v>part/total</x:v>
      </x:c>
      <x:c r="J38" s="24" t="str">
        <x:v>營業利益（損失）；營業收入</x:v>
      </x:c>
      <x:c r="K38" s="24" t="str">
        <x:v>2024</x:v>
      </x:c>
      <x:c r="L38" s="24" t="str">
        <x:v>%</x:v>
      </x:c>
      <x:c r="M38" s="24" t="str">
        <x:v>What is the {Logic: ratio} of {Concept A} to {Concept B} in {Time}?</x:v>
      </x:c>
      <x:c r="N38" s="24" t="str">
        <x:v>Eligible</x:v>
      </x:c>
      <x:c r="O38" s="24" t="str">
        <x:v>Researcher-designed from simplified UMC financial statements</x:v>
      </x:c>
      <x:c r="P38" s="24" t="str">
        <x:v>Approved</x:v>
      </x:c>
      <x:c r="Q38" s="24" t="str">
        <x:v>第一輪人工審查通過：題型、範圍、必要科目與年度皆符合 Simplified-FS Corpus。</x:v>
      </x:c>
    </x:row>
    <x:row r="39" ht="26.399999618530273" hidden="0" customHeight="1">
      <x:c r="A39" s="24" t="str">
        <x:v>RT05</x:v>
      </x:c>
      <x:c r="B39" s="24" t="str">
        <x:v>Ratio</x:v>
      </x:c>
      <x:c r="C39" s="24" t="str">
        <x:v>Medium</x:v>
      </x:c>
      <x:c r="D39" s="24" t="str">
        <x:v>聯電112年度本期淨利占營業收入的比例為何？</x:v>
      </x:c>
      <x:c r="E39" s="24" t="str">
        <x:v>What was UMC's net profit margin in 2023?</x:v>
      </x:c>
      <x:c r="F39" s="24" t="str">
        <x:v>112年度</x:v>
      </x:c>
      <x:c r="G39" s="24" t="str">
        <x:v>本期淨利 / 營業收入</x:v>
      </x:c>
      <x:c r="H39" s="24" t="str"/>
      <x:c r="I39" s="24" t="str">
        <x:v>part/total</x:v>
      </x:c>
      <x:c r="J39" s="24" t="str">
        <x:v>本期淨利（淨損）；營業收入</x:v>
      </x:c>
      <x:c r="K39" s="24" t="str">
        <x:v>2023</x:v>
      </x:c>
      <x:c r="L39" s="24" t="str">
        <x:v>%</x:v>
      </x:c>
      <x:c r="M39" s="24" t="str">
        <x:v>What is the {Logic: ratio} of {Concept A} to {Concept B} in {Time}?</x:v>
      </x:c>
      <x:c r="N39" s="24" t="str">
        <x:v>Eligible</x:v>
      </x:c>
      <x:c r="O39" s="24" t="str">
        <x:v>Researcher-designed from simplified UMC financial statements</x:v>
      </x:c>
      <x:c r="P39" s="24" t="str">
        <x:v>Approved</x:v>
      </x:c>
      <x:c r="Q39" s="24" t="str">
        <x:v>第一輪人工審查通過：題型、範圍、必要科目與年度皆符合 Simplified-FS Corpus。</x:v>
      </x:c>
    </x:row>
    <x:row r="40" ht="26.399999618530273" hidden="0" customHeight="1">
      <x:c r="A40" s="24" t="str">
        <x:v>RT06</x:v>
      </x:c>
      <x:c r="B40" s="24" t="str">
        <x:v>Ratio</x:v>
      </x:c>
      <x:c r="C40" s="24" t="str">
        <x:v>Medium</x:v>
      </x:c>
      <x:c r="D40" s="24" t="str">
        <x:v>聯電114年負債總計占資產總計的比例為何？</x:v>
      </x:c>
      <x:c r="E40" s="24" t="str">
        <x:v>What percentage of UMC's total assets was represented by total liabilities in 2025?</x:v>
      </x:c>
      <x:c r="F40" s="24" t="str">
        <x:v>114年12月31日</x:v>
      </x:c>
      <x:c r="G40" s="24" t="str">
        <x:v>負債總計 / 資產總計</x:v>
      </x:c>
      <x:c r="H40" s="24" t="str"/>
      <x:c r="I40" s="24" t="str">
        <x:v>part/total</x:v>
      </x:c>
      <x:c r="J40" s="24" t="str">
        <x:v>負債總計；資產總計</x:v>
      </x:c>
      <x:c r="K40" s="24" t="str">
        <x:v>2025</x:v>
      </x:c>
      <x:c r="L40" s="24" t="str">
        <x:v>%</x:v>
      </x:c>
      <x:c r="M40" s="24" t="str">
        <x:v>What is the {Logic: ratio} of {Concept A} to {Concept B} in {Time}?</x:v>
      </x:c>
      <x:c r="N40" s="24" t="str">
        <x:v>Eligible</x:v>
      </x:c>
      <x:c r="O40" s="24" t="str">
        <x:v>Researcher-designed from simplified UMC financial statements</x:v>
      </x:c>
      <x:c r="P40" s="24" t="str">
        <x:v>Approved</x:v>
      </x:c>
      <x:c r="Q40" s="24" t="str">
        <x:v>已修訂後通過：避免使用可能被解讀為僅含有息負債的 debt-to-assets ratio，改成與中文及 Required_Items 完全一致的表述。</x:v>
      </x:c>
    </x:row>
    <x:row r="41" ht="26.399999618530273" hidden="0" customHeight="1">
      <x:c r="A41" s="24" t="str">
        <x:v>RT07</x:v>
      </x:c>
      <x:c r="B41" s="24" t="str">
        <x:v>Ratio</x:v>
      </x:c>
      <x:c r="C41" s="24" t="str">
        <x:v>Medium</x:v>
      </x:c>
      <x:c r="D41" s="24" t="str">
        <x:v>聯電113年權益總計占資產總計的比例為何？</x:v>
      </x:c>
      <x:c r="E41" s="24" t="str">
        <x:v>What percentage of UMC's total assets was total equity in 2024?</x:v>
      </x:c>
      <x:c r="F41" s="24" t="str">
        <x:v>113年12月31日</x:v>
      </x:c>
      <x:c r="G41" s="24" t="str">
        <x:v>權益總計 / 資產總計</x:v>
      </x:c>
      <x:c r="H41" s="24" t="str"/>
      <x:c r="I41" s="24" t="str">
        <x:v>part/total</x:v>
      </x:c>
      <x:c r="J41" s="24" t="str">
        <x:v>權益總計；資產總計</x:v>
      </x:c>
      <x:c r="K41" s="24" t="str">
        <x:v>2024</x:v>
      </x:c>
      <x:c r="L41" s="24" t="str">
        <x:v>%</x:v>
      </x:c>
      <x:c r="M41" s="24" t="str">
        <x:v>What is the {Logic: ratio} of {Concept A} to {Concept B} in {Time}?</x:v>
      </x:c>
      <x:c r="N41" s="24" t="str">
        <x:v>Eligible</x:v>
      </x:c>
      <x:c r="O41" s="24" t="str">
        <x:v>Researcher-designed from simplified UMC financial statements</x:v>
      </x:c>
      <x:c r="P41" s="24" t="str">
        <x:v>Approved</x:v>
      </x:c>
      <x:c r="Q41" s="24" t="str">
        <x:v>第一輪人工審查通過：題型、範圍、必要科目與年度皆符合 Simplified-FS Corpus。</x:v>
      </x:c>
    </x:row>
    <x:row r="42" ht="26.399999618530273" hidden="0" customHeight="1">
      <x:c r="A42" s="24" t="str">
        <x:v>RT08</x:v>
      </x:c>
      <x:c r="B42" s="24" t="str">
        <x:v>Ratio</x:v>
      </x:c>
      <x:c r="C42" s="24" t="str">
        <x:v>Hard</x:v>
      </x:c>
      <x:c r="D42" s="24" t="str">
        <x:v>聯電114年度營業費用占營業收入的比例為何？</x:v>
      </x:c>
      <x:c r="E42" s="24" t="str">
        <x:v>What percentage of UMC's operating revenue was represented by operating expenses in 2025?</x:v>
      </x:c>
      <x:c r="F42" s="24" t="str">
        <x:v>114年度</x:v>
      </x:c>
      <x:c r="G42" s="24" t="str">
        <x:v>營業費用 / 營業收入</x:v>
      </x:c>
      <x:c r="H42" s="24" t="str"/>
      <x:c r="I42" s="24" t="str">
        <x:v>part/total</x:v>
      </x:c>
      <x:c r="J42" s="24" t="str">
        <x:v>營業費用；營業收入</x:v>
      </x:c>
      <x:c r="K42" s="24" t="str">
        <x:v>2025</x:v>
      </x:c>
      <x:c r="L42" s="24" t="str">
        <x:v>%</x:v>
      </x:c>
      <x:c r="M42" s="24" t="str">
        <x:v>What is the {Logic: ratio} of {Concept A} to {Concept B} in {Time}?</x:v>
      </x:c>
      <x:c r="N42" s="24" t="str">
        <x:v>Eligible</x:v>
      </x:c>
      <x:c r="O42" s="24" t="str">
        <x:v>Researcher-designed from simplified UMC financial statements</x:v>
      </x:c>
      <x:c r="P42" s="24" t="str">
        <x:v>Approved</x:v>
      </x:c>
      <x:c r="Q42" s="24" t="str">
        <x:v>第一輪人工審查通過：題型、範圍、必要科目與年度皆符合 Simplified-FS Corpus。</x:v>
      </x:c>
    </x:row>
    <x:row r="43" ht="26.399999618530273" hidden="0" customHeight="1">
      <x:c r="A43" s="24" t="str">
        <x:v>RT09</x:v>
      </x:c>
      <x:c r="B43" s="24" t="str">
        <x:v>Ratio</x:v>
      </x:c>
      <x:c r="C43" s="24" t="str">
        <x:v>Hard</x:v>
      </x:c>
      <x:c r="D43" s="24" t="str">
        <x:v>聯電112年度所得稅費用占稅前淨利的比例為何？</x:v>
      </x:c>
      <x:c r="E43" s="24" t="str">
        <x:v>What percentage of UMC's profit before tax was income tax expense in 2023?</x:v>
      </x:c>
      <x:c r="F43" s="24" t="str">
        <x:v>112年度</x:v>
      </x:c>
      <x:c r="G43" s="24" t="str">
        <x:v>所得稅費用 / 稅前淨利</x:v>
      </x:c>
      <x:c r="H43" s="24" t="str"/>
      <x:c r="I43" s="24" t="str">
        <x:v>part/total</x:v>
      </x:c>
      <x:c r="J43" s="24" t="str">
        <x:v>所得稅費用（利益）；稅前淨利（淨損）</x:v>
      </x:c>
      <x:c r="K43" s="24" t="str">
        <x:v>2023</x:v>
      </x:c>
      <x:c r="L43" s="24" t="str">
        <x:v>%</x:v>
      </x:c>
      <x:c r="M43" s="24" t="str">
        <x:v>What is the {Logic: ratio} of {Concept A} to {Concept B} in {Time}?</x:v>
      </x:c>
      <x:c r="N43" s="24" t="str">
        <x:v>Eligible</x:v>
      </x:c>
      <x:c r="O43" s="24" t="str">
        <x:v>Researcher-designed from simplified UMC financial statements</x:v>
      </x:c>
      <x:c r="P43" s="24" t="str">
        <x:v>Approved</x:v>
      </x:c>
      <x:c r="Q43" s="24" t="str">
        <x:v>第一輪人工審查通過：題型、範圍、必要科目與年度皆符合 Simplified-FS Corpus。</x:v>
      </x:c>
    </x:row>
    <x:row r="44" ht="26.399999618530273" hidden="0" customHeight="1">
      <x:c r="A44" s="24" t="str">
        <x:v>RT10</x:v>
      </x:c>
      <x:c r="B44" s="24" t="str">
        <x:v>Ratio</x:v>
      </x:c>
      <x:c r="C44" s="24" t="str">
        <x:v>Hard</x:v>
      </x:c>
      <x:c r="D44" s="24" t="str">
        <x:v>聯電114年非控制權益占權益總計的比例為何？</x:v>
      </x:c>
      <x:c r="E44" s="24" t="str">
        <x:v>What percentage of UMC's total equity was attributable to non-controlling interests in 2025?</x:v>
      </x:c>
      <x:c r="F44" s="24" t="str">
        <x:v>114年12月31日</x:v>
      </x:c>
      <x:c r="G44" s="24" t="str">
        <x:v>非控制權益 / 權益總計</x:v>
      </x:c>
      <x:c r="H44" s="24" t="str">
        <x:v>資產負債表</x:v>
      </x:c>
      <x:c r="I44" s="24" t="str">
        <x:v>part/total</x:v>
      </x:c>
      <x:c r="J44" s="24" t="str">
        <x:v>非控制權益；權益總計</x:v>
      </x:c>
      <x:c r="K44" s="24" t="str">
        <x:v>2025</x:v>
      </x:c>
      <x:c r="L44" s="24" t="str">
        <x:v>%</x:v>
      </x:c>
      <x:c r="M44" s="24" t="str">
        <x:v>What is the {Logic: ratio} of {Concept A} to {Concept B} in {Time}?</x:v>
      </x:c>
      <x:c r="N44" s="24" t="str">
        <x:v>Eligible</x:v>
      </x:c>
      <x:c r="O44" s="24" t="str">
        <x:v>Researcher-designed from simplified UMC financial statements</x:v>
      </x:c>
      <x:c r="P44" s="24" t="str">
        <x:v>Approved</x:v>
      </x:c>
      <x:c r="Q44" s="24" t="str">
        <x:v>第一輪人工審查通過：題型、範圍、必要科目與年度皆符合 Simplified-FS Corpus。</x:v>
      </x:c>
    </x:row>
    <x:row r="45" ht="26.399999618530273" hidden="0" customHeight="1">
      <x:c r="A45" s="24" t="str">
        <x:v>LG01</x:v>
      </x:c>
      <x:c r="B45" s="24" t="str">
        <x:v>Logic</x:v>
      </x:c>
      <x:c r="C45" s="24" t="str">
        <x:v>Easy</x:v>
      </x:c>
      <x:c r="D45" s="24" t="str">
        <x:v>聯電114年度的營業收入是否高於113年度？</x:v>
      </x:c>
      <x:c r="E45" s="24" t="str">
        <x:v>Was UMC's operating revenue in 2025 higher than in 2024?</x:v>
      </x:c>
      <x:c r="F45" s="24" t="str">
        <x:v>113至114年度</x:v>
      </x:c>
      <x:c r="G45" s="24" t="str">
        <x:v>營業收入</x:v>
      </x:c>
      <x:c r="H45" s="24" t="str"/>
      <x:c r="I45" s="24" t="str">
        <x:v>greater-than comparison</x:v>
      </x:c>
      <x:c r="J45" s="24" t="str">
        <x:v>營業收入</x:v>
      </x:c>
      <x:c r="K45" s="24" t="str">
        <x:v>2024, 2025</x:v>
      </x:c>
      <x:c r="L45" s="24" t="str">
        <x:v>Yes/No</x:v>
      </x:c>
      <x:c r="M45" s="24" t="str">
        <x:v>Is {Concept} in {Time B} {Logic: greater than} in {Time A}?</x:v>
      </x:c>
      <x:c r="N45" s="24" t="str">
        <x:v>Eligible</x:v>
      </x:c>
      <x:c r="O45" s="24" t="str">
        <x:v>Researcher-designed from simplified UMC financial statements</x:v>
      </x:c>
      <x:c r="P45" s="24" t="str">
        <x:v>Approved</x:v>
      </x:c>
      <x:c r="Q45" s="24" t="str">
        <x:v>第一輪人工審查通過：題型、範圍、必要科目與年度皆符合 Simplified-FS Corpus。</x:v>
      </x:c>
    </x:row>
    <x:row r="46" ht="26.399999618530273" hidden="0" customHeight="1">
      <x:c r="A46" s="24" t="str">
        <x:v>LG02</x:v>
      </x:c>
      <x:c r="B46" s="24" t="str">
        <x:v>Logic</x:v>
      </x:c>
      <x:c r="C46" s="24" t="str">
        <x:v>Easy</x:v>
      </x:c>
      <x:c r="D46" s="24" t="str">
        <x:v>聯電113年的資產總計是否高於112年？</x:v>
      </x:c>
      <x:c r="E46" s="24" t="str">
        <x:v>Were UMC's total assets in 2024 higher than in 2023?</x:v>
      </x:c>
      <x:c r="F46" s="24" t="str">
        <x:v>112至113年12月31日</x:v>
      </x:c>
      <x:c r="G46" s="24" t="str">
        <x:v>資產總計</x:v>
      </x:c>
      <x:c r="H46" s="24" t="str"/>
      <x:c r="I46" s="24" t="str">
        <x:v>greater-than comparison</x:v>
      </x:c>
      <x:c r="J46" s="24" t="str">
        <x:v>資產總計</x:v>
      </x:c>
      <x:c r="K46" s="24" t="str">
        <x:v>2023, 2024</x:v>
      </x:c>
      <x:c r="L46" s="24" t="str">
        <x:v>Yes/No</x:v>
      </x:c>
      <x:c r="M46" s="24" t="str">
        <x:v>Is {Concept} in {Time B} {Logic: greater than} in {Time A}?</x:v>
      </x:c>
      <x:c r="N46" s="24" t="str">
        <x:v>Eligible</x:v>
      </x:c>
      <x:c r="O46" s="24" t="str">
        <x:v>Researcher-designed from simplified UMC financial statements</x:v>
      </x:c>
      <x:c r="P46" s="24" t="str">
        <x:v>Approved</x:v>
      </x:c>
      <x:c r="Q46" s="24" t="str">
        <x:v>第一輪人工審查通過：題型、範圍、必要科目與年度皆符合 Simplified-FS Corpus。</x:v>
      </x:c>
    </x:row>
    <x:row r="47" ht="26.399999618530273" hidden="0" customHeight="1">
      <x:c r="A47" s="24" t="str">
        <x:v>LG03</x:v>
      </x:c>
      <x:c r="B47" s="24" t="str">
        <x:v>Logic</x:v>
      </x:c>
      <x:c r="C47" s="24" t="str">
        <x:v>Easy</x:v>
      </x:c>
      <x:c r="D47" s="24" t="str">
        <x:v>聯電112至114年度的本期淨利是否逐年下降？</x:v>
      </x:c>
      <x:c r="E47" s="24" t="str">
        <x:v>Did UMC's net profit decrease every year from 2023 to 2025?</x:v>
      </x:c>
      <x:c r="F47" s="24" t="str">
        <x:v>112至114年度</x:v>
      </x:c>
      <x:c r="G47" s="24" t="str">
        <x:v>本期淨利（淨損）</x:v>
      </x:c>
      <x:c r="H47" s="24" t="str"/>
      <x:c r="I47" s="24" t="str">
        <x:v>monotonic decreasing</x:v>
      </x:c>
      <x:c r="J47" s="24" t="str">
        <x:v>本期淨利（淨損）</x:v>
      </x:c>
      <x:c r="K47" s="24" t="str">
        <x:v>2023, 2024, 2025</x:v>
      </x:c>
      <x:c r="L47" s="24" t="str">
        <x:v>Yes/No</x:v>
      </x:c>
      <x:c r="M47" s="24" t="str">
        <x:v>Does {Concept} {Logic: decrease every year} during {Time}?</x:v>
      </x:c>
      <x:c r="N47" s="24" t="str">
        <x:v>Eligible</x:v>
      </x:c>
      <x:c r="O47" s="24" t="str">
        <x:v>Researcher-designed from simplified UMC financial statements</x:v>
      </x:c>
      <x:c r="P47" s="24" t="str">
        <x:v>Approved</x:v>
      </x:c>
      <x:c r="Q47" s="24" t="str">
        <x:v>第一輪人工審查通過：題型、範圍、必要科目與年度皆符合 Simplified-FS Corpus。</x:v>
      </x:c>
    </x:row>
    <x:row r="48" ht="26.399999618530273" hidden="0" customHeight="1">
      <x:c r="A48" s="24" t="str">
        <x:v>LG04</x:v>
      </x:c>
      <x:c r="B48" s="24" t="str">
        <x:v>Logic</x:v>
      </x:c>
      <x:c r="C48" s="24" t="str">
        <x:v>Medium</x:v>
      </x:c>
      <x:c r="D48" s="24" t="str">
        <x:v>聯電114年度的其他綜合損益淨額是否為負數？</x:v>
      </x:c>
      <x:c r="E48" s="24" t="str">
        <x:v>Was UMC's net other comprehensive income negative in 2025?</x:v>
      </x:c>
      <x:c r="F48" s="24" t="str">
        <x:v>114年度</x:v>
      </x:c>
      <x:c r="G48" s="24" t="str">
        <x:v>其他綜合損益（淨額）</x:v>
      </x:c>
      <x:c r="H48" s="24" t="str"/>
      <x:c r="I48" s="24" t="str">
        <x:v>value &lt; 0</x:v>
      </x:c>
      <x:c r="J48" s="24" t="str">
        <x:v>其他綜合損益（淨額）</x:v>
      </x:c>
      <x:c r="K48" s="24" t="str">
        <x:v>2025</x:v>
      </x:c>
      <x:c r="L48" s="24" t="str">
        <x:v>Yes/No</x:v>
      </x:c>
      <x:c r="M48" s="24" t="str">
        <x:v>Is {Concept} {Logic: negative} in {Time}?</x:v>
      </x:c>
      <x:c r="N48" s="24" t="str">
        <x:v>Eligible</x:v>
      </x:c>
      <x:c r="O48" s="24" t="str">
        <x:v>Researcher-designed from simplified UMC financial statements</x:v>
      </x:c>
      <x:c r="P48" s="24" t="str">
        <x:v>Approved</x:v>
      </x:c>
      <x:c r="Q48" s="24" t="str">
        <x:v>第一輪人工審查通過：題型、範圍、必要科目與年度皆符合 Simplified-FS Corpus。</x:v>
      </x:c>
    </x:row>
    <x:row r="49" ht="26.399999618530273" hidden="0" customHeight="1">
      <x:c r="A49" s="24" t="str">
        <x:v>LG05</x:v>
      </x:c>
      <x:c r="B49" s="24" t="str">
        <x:v>Logic</x:v>
      </x:c>
      <x:c r="C49" s="24" t="str">
        <x:v>Medium</x:v>
      </x:c>
      <x:c r="D49" s="24" t="str">
        <x:v>聯電114年的負債總計是否低於權益總計？</x:v>
      </x:c>
      <x:c r="E49" s="24" t="str">
        <x:v>Were UMC's total liabilities lower than total equity in 2025?</x:v>
      </x:c>
      <x:c r="F49" s="24" t="str">
        <x:v>114年12月31日</x:v>
      </x:c>
      <x:c r="G49" s="24" t="str">
        <x:v>負債總計 vs 權益總計</x:v>
      </x:c>
      <x:c r="H49" s="24" t="str"/>
      <x:c r="I49" s="24" t="str">
        <x:v>less-than comparison</x:v>
      </x:c>
      <x:c r="J49" s="24" t="str">
        <x:v>負債總計；權益總計</x:v>
      </x:c>
      <x:c r="K49" s="24" t="str">
        <x:v>2025</x:v>
      </x:c>
      <x:c r="L49" s="24" t="str">
        <x:v>Yes/No</x:v>
      </x:c>
      <x:c r="M49" s="24" t="str">
        <x:v>Is {Concept A} {Logic: lower than} {Concept B} in {Time}?</x:v>
      </x:c>
      <x:c r="N49" s="24" t="str">
        <x:v>Eligible</x:v>
      </x:c>
      <x:c r="O49" s="24" t="str">
        <x:v>Researcher-designed from simplified UMC financial statements</x:v>
      </x:c>
      <x:c r="P49" s="24" t="str">
        <x:v>Approved</x:v>
      </x:c>
      <x:c r="Q49" s="24" t="str">
        <x:v>第一輪人工審查通過：題型、範圍、必要科目與年度皆符合 Simplified-FS Corpus。</x:v>
      </x:c>
    </x:row>
    <x:row r="50" ht="26.399999618530273" hidden="0" customHeight="1">
      <x:c r="A50" s="24" t="str">
        <x:v>LG06</x:v>
      </x:c>
      <x:c r="B50" s="24" t="str">
        <x:v>Logic</x:v>
      </x:c>
      <x:c r="C50" s="24" t="str">
        <x:v>Medium</x:v>
      </x:c>
      <x:c r="D50" s="24" t="str">
        <x:v>112至114年中，聯電是否有任何一年的流動資產超過資產總計的40%？</x:v>
      </x:c>
      <x:c r="E50" s="24" t="str">
        <x:v>Was there any year from 2023 to 2025 in which UMC's current assets exceeded 40% of total assets?</x:v>
      </x:c>
      <x:c r="F50" s="24" t="str">
        <x:v>112至114年12月31日</x:v>
      </x:c>
      <x:c r="G50" s="24" t="str">
        <x:v>流動資產 / 資產總計</x:v>
      </x:c>
      <x:c r="H50" s="24" t="str">
        <x:v>40%</x:v>
      </x:c>
      <x:c r="I50" s="24" t="str">
        <x:v>any ratio &gt; threshold</x:v>
      </x:c>
      <x:c r="J50" s="24" t="str">
        <x:v>流動資產；資產總計</x:v>
      </x:c>
      <x:c r="K50" s="24" t="str">
        <x:v>2023, 2024, 2025</x:v>
      </x:c>
      <x:c r="L50" s="24" t="str">
        <x:v>Yes/No</x:v>
      </x:c>
      <x:c r="M50" s="24" t="str">
        <x:v>Does any {Time: year} have {Concept A} exceeding {Filter} of {Concept B}?</x:v>
      </x:c>
      <x:c r="N50" s="24" t="str">
        <x:v>Eligible</x:v>
      </x:c>
      <x:c r="O50" s="24" t="str">
        <x:v>Researcher-designed from simplified UMC financial statements</x:v>
      </x:c>
      <x:c r="P50" s="24" t="str">
        <x:v>Approved</x:v>
      </x:c>
      <x:c r="Q50" s="24" t="str">
        <x:v>第一輪人工審查通過：題型、範圍、必要科目與年度皆符合 Simplified-FS Corpus。</x:v>
      </x:c>
    </x:row>
    <x:row r="51" ht="26.399999618530273" hidden="0" customHeight="1">
      <x:c r="A51" s="24" t="str">
        <x:v>LG07</x:v>
      </x:c>
      <x:c r="B51" s="24" t="str">
        <x:v>Logic</x:v>
      </x:c>
      <x:c r="C51" s="24" t="str">
        <x:v>Medium</x:v>
      </x:c>
      <x:c r="D51" s="24" t="str">
        <x:v>聯電112至114年度的營業費用是否逐年增加？</x:v>
      </x:c>
      <x:c r="E51" s="24" t="str">
        <x:v>Did UMC's operating expenses increase every year from 2023 to 2025?</x:v>
      </x:c>
      <x:c r="F51" s="24" t="str">
        <x:v>112至114年度</x:v>
      </x:c>
      <x:c r="G51" s="24" t="str">
        <x:v>營業費用</x:v>
      </x:c>
      <x:c r="H51" s="24" t="str"/>
      <x:c r="I51" s="24" t="str">
        <x:v>monotonic increasing</x:v>
      </x:c>
      <x:c r="J51" s="24" t="str">
        <x:v>營業費用</x:v>
      </x:c>
      <x:c r="K51" s="24" t="str">
        <x:v>2023, 2024, 2025</x:v>
      </x:c>
      <x:c r="L51" s="24" t="str">
        <x:v>Yes/No</x:v>
      </x:c>
      <x:c r="M51" s="24" t="str">
        <x:v>Does {Concept} {Logic: increase every year} during {Time}?</x:v>
      </x:c>
      <x:c r="N51" s="24" t="str">
        <x:v>Eligible</x:v>
      </x:c>
      <x:c r="O51" s="24" t="str">
        <x:v>Researcher-designed from simplified UMC financial statements</x:v>
      </x:c>
      <x:c r="P51" s="24" t="str">
        <x:v>Approved</x:v>
      </x:c>
      <x:c r="Q51" s="24" t="str">
        <x:v>第一輪人工審查通過：題型、範圍、必要科目與年度皆符合 Simplified-FS Corpus。</x:v>
      </x:c>
    </x:row>
    <x:row r="52" ht="26.399999618530273" hidden="0" customHeight="1">
      <x:c r="A52" s="24" t="str">
        <x:v>LG08</x:v>
      </x:c>
      <x:c r="B52" s="24" t="str">
        <x:v>Logic</x:v>
      </x:c>
      <x:c r="C52" s="24" t="str">
        <x:v>Hard</x:v>
      </x:c>
      <x:c r="D52" s="24" t="str">
        <x:v>聯電112至114年度是否每年都呈現營業收入增加、但營業利益下降？</x:v>
      </x:c>
      <x:c r="E52" s="24" t="str">
        <x:v>From 2023 to 2025, did UMC's operating revenue increase each year while operating income decreased each year?</x:v>
      </x:c>
      <x:c r="F52" s="24" t="str">
        <x:v>112至114年度</x:v>
      </x:c>
      <x:c r="G52" s="24" t="str">
        <x:v>營業收入；營業利益（損失）</x:v>
      </x:c>
      <x:c r="H52" s="24"/>
      <x:c r="I52" s="24" t="str">
        <x:v>revenue monotonic increasing AND operating income monotonic decreasing</x:v>
      </x:c>
      <x:c r="J52" s="24" t="str">
        <x:v>營業收入；營業利益（損失）</x:v>
      </x:c>
      <x:c r="K52" s="24" t="str">
        <x:v>2023, 2024, 2025</x:v>
      </x:c>
      <x:c r="L52" s="24" t="str">
        <x:v>Yes/No</x:v>
      </x:c>
      <x:c r="M52" s="24" t="str">
        <x:v>During {Time}, does {Concept A} increase every year while {Concept B} decreases every year?</x:v>
      </x:c>
      <x:c r="N52" s="24" t="str">
        <x:v>Eligible</x:v>
      </x:c>
      <x:c r="O52" s="24" t="str">
        <x:v>Researcher-designed from simplified UMC financial statements</x:v>
      </x:c>
      <x:c r="P52" s="24" t="str">
        <x:v>Approved</x:v>
      </x:c>
      <x:c r="Q52" s="24" t="str">
        <x:v>已修訂後通過：原題僅為兩期大小比較，難以支持 Hard 難度；改為跨三年、雙概念的聯合條件判斷。</x:v>
      </x:c>
    </x:row>
    <x:row r="53" ht="26.399999618530273" hidden="0" customHeight="1">
      <x:c r="A53" s="24" t="str">
        <x:v>LG09</x:v>
      </x:c>
      <x:c r="B53" s="24" t="str">
        <x:v>Logic</x:v>
      </x:c>
      <x:c r="C53" s="24" t="str">
        <x:v>Hard</x:v>
      </x:c>
      <x:c r="D53" s="24" t="str">
        <x:v>聯電112至114年度的營業毛利率是否逐年下降？</x:v>
      </x:c>
      <x:c r="E53" s="24" t="str">
        <x:v>Did UMC's gross profit margin decrease every year from 2023 to 2025?</x:v>
      </x:c>
      <x:c r="F53" s="24" t="str">
        <x:v>112至114年度</x:v>
      </x:c>
      <x:c r="G53" s="24" t="str">
        <x:v>營業毛利（毛損） / 營業收入</x:v>
      </x:c>
      <x:c r="H53" s="24"/>
      <x:c r="I53" s="24" t="str">
        <x:v>compute yearly ratio, then monotonic decreasing</x:v>
      </x:c>
      <x:c r="J53" s="24" t="str">
        <x:v>營業毛利（毛損）；營業收入</x:v>
      </x:c>
      <x:c r="K53" s="24" t="str">
        <x:v>2023, 2024, 2025</x:v>
      </x:c>
      <x:c r="L53" s="24" t="str">
        <x:v>Yes/No</x:v>
      </x:c>
      <x:c r="M53" s="24" t="str">
        <x:v>Does {Concept A}/{Concept B} decrease every year during {Time}?</x:v>
      </x:c>
      <x:c r="N53" s="24" t="str">
        <x:v>Eligible</x:v>
      </x:c>
      <x:c r="O53" s="24" t="str">
        <x:v>Researcher-designed from simplified UMC financial statements</x:v>
      </x:c>
      <x:c r="P53" s="24" t="str">
        <x:v>Approved</x:v>
      </x:c>
      <x:c r="Q53" s="24" t="str">
        <x:v>已修訂後通過：原題為單一負值判斷，難以支持 Hard 難度；改為先計算各年毛利率再判斷是否逐年下降。</x:v>
      </x:c>
    </x:row>
    <x:row r="54" ht="26.399999618530273" hidden="0" customHeight="1">
      <x:c r="A54" s="24" t="str">
        <x:v>LG10</x:v>
      </x:c>
      <x:c r="B54" s="24" t="str">
        <x:v>Logic</x:v>
      </x:c>
      <x:c r="C54" s="24" t="str">
        <x:v>Hard</x:v>
      </x:c>
      <x:c r="D54" s="24" t="str">
        <x:v>聯電114年的資產總計是否等於負債總計加上權益總計？</x:v>
      </x:c>
      <x:c r="E54" s="24" t="str">
        <x:v>Did UMC's total assets equal total liabilities plus total equity in 2025?</x:v>
      </x:c>
      <x:c r="F54" s="24" t="str">
        <x:v>114年12月31日</x:v>
      </x:c>
      <x:c r="G54" s="24" t="str">
        <x:v>資產總計；負債總計；權益總計</x:v>
      </x:c>
      <x:c r="H54" s="24" t="str"/>
      <x:c r="I54" s="24" t="str">
        <x:v>equality check</x:v>
      </x:c>
      <x:c r="J54" s="24" t="str">
        <x:v>資產總計；負債總計；權益總計</x:v>
      </x:c>
      <x:c r="K54" s="24" t="str">
        <x:v>2025</x:v>
      </x:c>
      <x:c r="L54" s="24" t="str">
        <x:v>Yes/No</x:v>
      </x:c>
      <x:c r="M54" s="24" t="str">
        <x:v>Does {Concept A} {Logic: equal} {Concept B} plus {Concept C} in {Time}?</x:v>
      </x:c>
      <x:c r="N54" s="24" t="str">
        <x:v>Eligible</x:v>
      </x:c>
      <x:c r="O54" s="24" t="str">
        <x:v>Researcher-designed from simplified UMC financial statements</x:v>
      </x:c>
      <x:c r="P54" s="24" t="str">
        <x:v>Approved</x:v>
      </x:c>
      <x:c r="Q54" s="24" t="str">
        <x:v>第一輪人工審查通過：題型、範圍、必要科目與年度皆符合 Simplified-FS Corpus。</x:v>
      </x:c>
    </x:row>
    <x:row r="55" ht="26.399999618530273" hidden="0" customHeight="1">
      <x:c r="A55" s="24" t="str">
        <x:v>AR01</x:v>
      </x:c>
      <x:c r="B55" s="24" t="str">
        <x:v>Arithmetic</x:v>
      </x:c>
      <x:c r="C55" s="24" t="str">
        <x:v>Easy</x:v>
      </x:c>
      <x:c r="D55" s="24" t="str">
        <x:v>聯電114年的流動資產與非流動資產合計為多少？</x:v>
      </x:c>
      <x:c r="E55" s="24" t="str">
        <x:v>What was the sum of UMC's current and non-current assets in 2025?</x:v>
      </x:c>
      <x:c r="F55" s="24" t="str">
        <x:v>114年12月31日</x:v>
      </x:c>
      <x:c r="G55" s="24" t="str">
        <x:v>流動資產 + 非流動資產</x:v>
      </x:c>
      <x:c r="H55" s="24" t="str"/>
      <x:c r="I55" s="24" t="str">
        <x:v>addition</x:v>
      </x:c>
      <x:c r="J55" s="24" t="str">
        <x:v>流動資產；非流動資產</x:v>
      </x:c>
      <x:c r="K55" s="24" t="str">
        <x:v>2025</x:v>
      </x:c>
      <x:c r="L55" s="24" t="str">
        <x:v>新臺幣仟元</x:v>
      </x:c>
      <x:c r="M55" s="24" t="str">
        <x:v>What is the {Logic: sum} of {Concept A} and {Concept B} in {Time}?</x:v>
      </x:c>
      <x:c r="N55" s="24" t="str">
        <x:v>Eligible</x:v>
      </x:c>
      <x:c r="O55" s="24" t="str">
        <x:v>Researcher-designed from simplified UMC financial statements</x:v>
      </x:c>
      <x:c r="P55" s="24" t="str">
        <x:v>Approved</x:v>
      </x:c>
      <x:c r="Q55" s="24" t="str">
        <x:v>第一輪人工審查通過：題型、範圍、必要科目與年度皆符合 Simplified-FS Corpus。</x:v>
      </x:c>
    </x:row>
    <x:row r="56" ht="26.399999618530273" hidden="0" customHeight="1">
      <x:c r="A56" s="24" t="str">
        <x:v>AR02</x:v>
      </x:c>
      <x:c r="B56" s="24" t="str">
        <x:v>Arithmetic</x:v>
      </x:c>
      <x:c r="C56" s="24" t="str">
        <x:v>Easy</x:v>
      </x:c>
      <x:c r="D56" s="24" t="str">
        <x:v>聯電113年的流動負債與非流動負債合計為多少？</x:v>
      </x:c>
      <x:c r="E56" s="24" t="str">
        <x:v>What was the sum of UMC's current and non-current liabilities in 2024?</x:v>
      </x:c>
      <x:c r="F56" s="24" t="str">
        <x:v>113年12月31日</x:v>
      </x:c>
      <x:c r="G56" s="24" t="str">
        <x:v>流動負債 + 非流動負債</x:v>
      </x:c>
      <x:c r="H56" s="24" t="str"/>
      <x:c r="I56" s="24" t="str">
        <x:v>addition</x:v>
      </x:c>
      <x:c r="J56" s="24" t="str">
        <x:v>流動負債；非流動負債</x:v>
      </x:c>
      <x:c r="K56" s="24" t="str">
        <x:v>2024</x:v>
      </x:c>
      <x:c r="L56" s="24" t="str">
        <x:v>新臺幣仟元</x:v>
      </x:c>
      <x:c r="M56" s="24" t="str">
        <x:v>What is the {Logic: sum} of {Concept A} and {Concept B} in {Time}?</x:v>
      </x:c>
      <x:c r="N56" s="24" t="str">
        <x:v>Eligible</x:v>
      </x:c>
      <x:c r="O56" s="24" t="str">
        <x:v>Researcher-designed from simplified UMC financial statements</x:v>
      </x:c>
      <x:c r="P56" s="24" t="str">
        <x:v>Approved</x:v>
      </x:c>
      <x:c r="Q56" s="24" t="str">
        <x:v>第一輪人工審查通過：題型、範圍、必要科目與年度皆符合 Simplified-FS Corpus。</x:v>
      </x:c>
    </x:row>
    <x:row r="57" ht="26.399999618530273" hidden="0" customHeight="1">
      <x:c r="A57" s="24" t="str">
        <x:v>AR03</x:v>
      </x:c>
      <x:c r="B57" s="24" t="str">
        <x:v>Arithmetic</x:v>
      </x:c>
      <x:c r="C57" s="24" t="str">
        <x:v>Easy</x:v>
      </x:c>
      <x:c r="D57" s="24" t="str">
        <x:v>聯電112年度稅前淨利減去所得稅費用後為多少？</x:v>
      </x:c>
      <x:c r="E57" s="24" t="str">
        <x:v>What was UMC's profit before tax minus income tax expense in 2023?</x:v>
      </x:c>
      <x:c r="F57" s="24" t="str">
        <x:v>112年度</x:v>
      </x:c>
      <x:c r="G57" s="24" t="str">
        <x:v>稅前淨利 - 所得稅費用</x:v>
      </x:c>
      <x:c r="H57" s="24" t="str"/>
      <x:c r="I57" s="24" t="str">
        <x:v>subtraction</x:v>
      </x:c>
      <x:c r="J57" s="24" t="str">
        <x:v>稅前淨利（淨損）；所得稅費用（利益）</x:v>
      </x:c>
      <x:c r="K57" s="24" t="str">
        <x:v>2023</x:v>
      </x:c>
      <x:c r="L57" s="24" t="str">
        <x:v>新臺幣仟元</x:v>
      </x:c>
      <x:c r="M57" s="24" t="str">
        <x:v>What is {Concept A} minus {Concept B} in {Time}?</x:v>
      </x:c>
      <x:c r="N57" s="24" t="str">
        <x:v>Eligible</x:v>
      </x:c>
      <x:c r="O57" s="24" t="str">
        <x:v>Researcher-designed from simplified UMC financial statements</x:v>
      </x:c>
      <x:c r="P57" s="24" t="str">
        <x:v>Approved</x:v>
      </x:c>
      <x:c r="Q57" s="24" t="str">
        <x:v>第一輪人工審查通過：題型、範圍、必要科目與年度皆符合 Simplified-FS Corpus。</x:v>
      </x:c>
    </x:row>
    <x:row r="58" ht="26.399999618530273" hidden="0" customHeight="1">
      <x:c r="A58" s="24" t="str">
        <x:v>AR04</x:v>
      </x:c>
      <x:c r="B58" s="24" t="str">
        <x:v>Arithmetic</x:v>
      </x:c>
      <x:c r="C58" s="24" t="str">
        <x:v>Medium</x:v>
      </x:c>
      <x:c r="D58" s="24" t="str">
        <x:v>聯電114年度營業收入減去營業成本後為多少？</x:v>
      </x:c>
      <x:c r="E58" s="24" t="str">
        <x:v>What was UMC's operating revenue minus operating cost in 2025?</x:v>
      </x:c>
      <x:c r="F58" s="24" t="str">
        <x:v>114年度</x:v>
      </x:c>
      <x:c r="G58" s="24" t="str">
        <x:v>營業收入 - 營業成本</x:v>
      </x:c>
      <x:c r="H58" s="24" t="str"/>
      <x:c r="I58" s="24" t="str">
        <x:v>subtraction</x:v>
      </x:c>
      <x:c r="J58" s="24" t="str">
        <x:v>營業收入；營業成本</x:v>
      </x:c>
      <x:c r="K58" s="24" t="str">
        <x:v>2025</x:v>
      </x:c>
      <x:c r="L58" s="24" t="str">
        <x:v>新臺幣仟元</x:v>
      </x:c>
      <x:c r="M58" s="24" t="str">
        <x:v>What is {Concept A} minus {Concept B} in {Time}?</x:v>
      </x:c>
      <x:c r="N58" s="24" t="str">
        <x:v>Eligible</x:v>
      </x:c>
      <x:c r="O58" s="24" t="str">
        <x:v>Researcher-designed from simplified UMC financial statements</x:v>
      </x:c>
      <x:c r="P58" s="24" t="str">
        <x:v>Approved</x:v>
      </x:c>
      <x:c r="Q58" s="24" t="str">
        <x:v>第一輪人工審查通過：題型、範圍、必要科目與年度皆符合 Simplified-FS Corpus。</x:v>
      </x:c>
    </x:row>
    <x:row r="59" ht="26.399999618530273" hidden="0" customHeight="1">
      <x:c r="A59" s="24" t="str">
        <x:v>AR05</x:v>
      </x:c>
      <x:c r="B59" s="24" t="str">
        <x:v>Arithmetic</x:v>
      </x:c>
      <x:c r="C59" s="24" t="str">
        <x:v>Medium</x:v>
      </x:c>
      <x:c r="D59" s="24" t="str">
        <x:v>聯電112至114年度的平均營業收入為多少？</x:v>
      </x:c>
      <x:c r="E59" s="24" t="str">
        <x:v>What was UMC's average operating revenue from 2023 to 2025?</x:v>
      </x:c>
      <x:c r="F59" s="24" t="str">
        <x:v>112至114年度</x:v>
      </x:c>
      <x:c r="G59" s="24" t="str">
        <x:v>營業收入</x:v>
      </x:c>
      <x:c r="H59" s="24" t="str"/>
      <x:c r="I59" s="24" t="str">
        <x:v>average</x:v>
      </x:c>
      <x:c r="J59" s="24" t="str">
        <x:v>營業收入</x:v>
      </x:c>
      <x:c r="K59" s="24" t="str">
        <x:v>2023, 2024, 2025</x:v>
      </x:c>
      <x:c r="L59" s="24" t="str">
        <x:v>新臺幣仟元</x:v>
      </x:c>
      <x:c r="M59" s="24" t="str">
        <x:v>What is the {Logic: average} {Concept} during {Time}?</x:v>
      </x:c>
      <x:c r="N59" s="24" t="str">
        <x:v>Eligible</x:v>
      </x:c>
      <x:c r="O59" s="24" t="str">
        <x:v>Researcher-designed from simplified UMC financial statements</x:v>
      </x:c>
      <x:c r="P59" s="24" t="str">
        <x:v>Approved</x:v>
      </x:c>
      <x:c r="Q59" s="24" t="str">
        <x:v>第一輪人工審查通過：題型、範圍、必要科目與年度皆符合 Simplified-FS Corpus。</x:v>
      </x:c>
    </x:row>
    <x:row r="60" ht="26.399999618530273" hidden="0" customHeight="1">
      <x:c r="A60" s="24" t="str">
        <x:v>AR06</x:v>
      </x:c>
      <x:c r="B60" s="24" t="str">
        <x:v>Arithmetic</x:v>
      </x:c>
      <x:c r="C60" s="24" t="str">
        <x:v>Medium</x:v>
      </x:c>
      <x:c r="D60" s="24" t="str">
        <x:v>聯電112至114年度的基本每股盈餘合計為多少？</x:v>
      </x:c>
      <x:c r="E60" s="24" t="str">
        <x:v>What was the sum of UMC's basic earnings per share from 2023 to 2025?</x:v>
      </x:c>
      <x:c r="F60" s="24" t="str">
        <x:v>112至114年度</x:v>
      </x:c>
      <x:c r="G60" s="24" t="str">
        <x:v>基本每股盈餘（元）</x:v>
      </x:c>
      <x:c r="H60" s="24" t="str"/>
      <x:c r="I60" s="24" t="str">
        <x:v>addition across years</x:v>
      </x:c>
      <x:c r="J60" s="24" t="str">
        <x:v>基本每股盈餘（元）</x:v>
      </x:c>
      <x:c r="K60" s="24" t="str">
        <x:v>2023, 2024, 2025</x:v>
      </x:c>
      <x:c r="L60" s="24" t="str">
        <x:v>元</x:v>
      </x:c>
      <x:c r="M60" s="24" t="str">
        <x:v>What is the {Logic: sum} of {Concept} during {Time}?</x:v>
      </x:c>
      <x:c r="N60" s="24" t="str">
        <x:v>Eligible</x:v>
      </x:c>
      <x:c r="O60" s="24" t="str">
        <x:v>Researcher-designed from simplified UMC financial statements</x:v>
      </x:c>
      <x:c r="P60" s="24" t="str">
        <x:v>Approved</x:v>
      </x:c>
      <x:c r="Q60" s="24" t="str">
        <x:v>第一輪人工審查通過：題型、範圍、必要科目與年度皆符合 Simplified-FS Corpus。</x:v>
      </x:c>
    </x:row>
    <x:row r="61" ht="26.399999618530273" hidden="0" customHeight="1">
      <x:c r="A61" s="24" t="str">
        <x:v>AR07</x:v>
      </x:c>
      <x:c r="B61" s="24" t="str">
        <x:v>Arithmetic</x:v>
      </x:c>
      <x:c r="C61" s="24" t="str">
        <x:v>Medium</x:v>
      </x:c>
      <x:c r="D61" s="24" t="str">
        <x:v>聯電114年的資產總計減去負債總計後為多少？</x:v>
      </x:c>
      <x:c r="E61" s="24" t="str">
        <x:v>What was UMC's total assets minus total liabilities in 2025?</x:v>
      </x:c>
      <x:c r="F61" s="24" t="str">
        <x:v>114年12月31日</x:v>
      </x:c>
      <x:c r="G61" s="24" t="str">
        <x:v>資產總計 - 負債總計</x:v>
      </x:c>
      <x:c r="H61" s="24" t="str"/>
      <x:c r="I61" s="24" t="str">
        <x:v>subtraction</x:v>
      </x:c>
      <x:c r="J61" s="24" t="str">
        <x:v>資產總計；負債總計</x:v>
      </x:c>
      <x:c r="K61" s="24" t="str">
        <x:v>2025</x:v>
      </x:c>
      <x:c r="L61" s="24" t="str">
        <x:v>新臺幣仟元</x:v>
      </x:c>
      <x:c r="M61" s="24" t="str">
        <x:v>What is {Concept A} minus {Concept B} in {Time}?</x:v>
      </x:c>
      <x:c r="N61" s="24" t="str">
        <x:v>Eligible</x:v>
      </x:c>
      <x:c r="O61" s="24" t="str">
        <x:v>Researcher-designed from simplified UMC financial statements</x:v>
      </x:c>
      <x:c r="P61" s="24" t="str">
        <x:v>Approved</x:v>
      </x:c>
      <x:c r="Q61" s="24" t="str">
        <x:v>第一輪人工審查通過：題型、範圍、必要科目與年度皆符合 Simplified-FS Corpus。</x:v>
      </x:c>
    </x:row>
    <x:row r="62" ht="39.599998474121094" hidden="0" customHeight="1">
      <x:c r="A62" s="24" t="str">
        <x:v>AR08</x:v>
      </x:c>
      <x:c r="B62" s="24" t="str">
        <x:v>Arithmetic</x:v>
      </x:c>
      <x:c r="C62" s="24" t="str">
        <x:v>Hard</x:v>
      </x:c>
      <x:c r="D62" s="24" t="str">
        <x:v>聯電113年歸屬於母公司業主之權益合計與非控制權益相加為多少？</x:v>
      </x:c>
      <x:c r="E62" s="24" t="str">
        <x:v>What was the sum of UMC's equity attributable to owners of the parent and non-controlling interests in 2024?</x:v>
      </x:c>
      <x:c r="F62" s="24" t="str">
        <x:v>113年12月31日</x:v>
      </x:c>
      <x:c r="G62" s="24" t="str">
        <x:v>歸屬於母公司業主之權益合計 + 非控制權益</x:v>
      </x:c>
      <x:c r="H62" s="24" t="str"/>
      <x:c r="I62" s="24" t="str">
        <x:v>addition</x:v>
      </x:c>
      <x:c r="J62" s="24" t="str">
        <x:v>歸屬於母公司業主之權益合計；非控制權益</x:v>
      </x:c>
      <x:c r="K62" s="24" t="str">
        <x:v>2024</x:v>
      </x:c>
      <x:c r="L62" s="24" t="str">
        <x:v>新臺幣仟元</x:v>
      </x:c>
      <x:c r="M62" s="24" t="str">
        <x:v>What is the {Logic: sum} of {Concept A} and {Concept B} in {Time}?</x:v>
      </x:c>
      <x:c r="N62" s="24" t="str">
        <x:v>Eligible</x:v>
      </x:c>
      <x:c r="O62" s="24" t="str">
        <x:v>Researcher-designed from simplified UMC financial statements</x:v>
      </x:c>
      <x:c r="P62" s="24" t="str">
        <x:v>Approved</x:v>
      </x:c>
      <x:c r="Q62" s="24" t="str">
        <x:v>第一輪人工審查通過：題型、範圍、必要科目與年度皆符合 Simplified-FS Corpus。</x:v>
      </x:c>
    </x:row>
    <x:row r="63" ht="26.399999618530273" hidden="0" customHeight="1">
      <x:c r="A63" s="24" t="str">
        <x:v>AR09</x:v>
      </x:c>
      <x:c r="B63" s="24" t="str">
        <x:v>Arithmetic</x:v>
      </x:c>
      <x:c r="C63" s="24" t="str">
        <x:v>Hard</x:v>
      </x:c>
      <x:c r="D63" s="24" t="str">
        <x:v>聯電114年度本期淨利與其他綜合損益淨額相加為多少？</x:v>
      </x:c>
      <x:c r="E63" s="24" t="str">
        <x:v>What was the sum of UMC's net profit and net other comprehensive income in 2025?</x:v>
      </x:c>
      <x:c r="F63" s="24" t="str">
        <x:v>114年度</x:v>
      </x:c>
      <x:c r="G63" s="24" t="str">
        <x:v>本期淨利 + 其他綜合損益</x:v>
      </x:c>
      <x:c r="H63" s="24" t="str"/>
      <x:c r="I63" s="24" t="str">
        <x:v>addition</x:v>
      </x:c>
      <x:c r="J63" s="24" t="str">
        <x:v>本期淨利（淨損）；其他綜合損益（淨額）</x:v>
      </x:c>
      <x:c r="K63" s="24" t="str">
        <x:v>2025</x:v>
      </x:c>
      <x:c r="L63" s="24" t="str">
        <x:v>新臺幣仟元</x:v>
      </x:c>
      <x:c r="M63" s="24" t="str">
        <x:v>What is the {Logic: sum} of {Concept A} and {Concept B} in {Time}?</x:v>
      </x:c>
      <x:c r="N63" s="24" t="str">
        <x:v>Eligible</x:v>
      </x:c>
      <x:c r="O63" s="24" t="str">
        <x:v>Researcher-designed from simplified UMC financial statements</x:v>
      </x:c>
      <x:c r="P63" s="24" t="str">
        <x:v>Approved</x:v>
      </x:c>
      <x:c r="Q63" s="24" t="str">
        <x:v>第一輪人工審查通過：題型、範圍、必要科目與年度皆符合 Simplified-FS Corpus。</x:v>
      </x:c>
    </x:row>
    <x:row r="64" ht="26.399999618530273" hidden="0" customHeight="1">
      <x:c r="A64" s="24" t="str">
        <x:v>AR10</x:v>
      </x:c>
      <x:c r="B64" s="24" t="str">
        <x:v>Arithmetic</x:v>
      </x:c>
      <x:c r="C64" s="24" t="str">
        <x:v>Hard</x:v>
      </x:c>
      <x:c r="D64" s="24" t="str">
        <x:v>聯電112年度營業利益比114年度高多少？</x:v>
      </x:c>
      <x:c r="E64" s="24" t="str">
        <x:v>By how much was UMC's operating income in 2023 higher than in 2025?</x:v>
      </x:c>
      <x:c r="F64" s="24" t="str">
        <x:v>112與114年度</x:v>
      </x:c>
      <x:c r="G64" s="24" t="str">
        <x:v>營業利益（損失）</x:v>
      </x:c>
      <x:c r="H64" s="24" t="str"/>
      <x:c r="I64" s="24" t="str">
        <x:v>difference</x:v>
      </x:c>
      <x:c r="J64" s="24" t="str">
        <x:v>營業利益（損失）</x:v>
      </x:c>
      <x:c r="K64" s="24" t="str">
        <x:v>2023, 2025</x:v>
      </x:c>
      <x:c r="L64" s="24" t="str">
        <x:v>新臺幣仟元</x:v>
      </x:c>
      <x:c r="M64" s="24" t="str">
        <x:v>By how much is {Concept} in {Time A} higher than in {Time B}?</x:v>
      </x:c>
      <x:c r="N64" s="24" t="str">
        <x:v>Eligible</x:v>
      </x:c>
      <x:c r="O64" s="24" t="str">
        <x:v>Researcher-designed from simplified UMC financial statements</x:v>
      </x:c>
      <x:c r="P64" s="24" t="str">
        <x:v>Approved</x:v>
      </x:c>
      <x:c r="Q64" s="24" t="str">
        <x:v>第一輪人工審查通過：題型、範圍、必要科目與年度皆符合 Simplified-FS Corpus。</x:v>
      </x:c>
    </x:row>
  </x:sheetData>
  <x:mergeCells>
    <x:mergeCell ref="A1:Q1"/>
    <x:mergeCell ref="A2:Q2"/>
  </x:mergeCells>
  <x:conditionalFormatting sqref="C5:C64">
    <x:cfRule type="expression" dxfId="0" priority="1">
      <x:formula>C5="Hard"</x:formula>
    </x:cfRule>
  </x:conditionalFormatting>
  <x:conditionalFormatting sqref="P5:P64">
    <x:cfRule type="expression" dxfId="1" priority="2">
      <x:formula>P5="Approved"</x:formula>
    </x:cfRule>
  </x:conditionalFormatting>
  <x:dataValidations count="4">
    <x:dataValidation type="list" sqref="B5:B64">
      <x:formula1>"Single-Fact,Comparison,Growth_Rate,Ratio,Logic,Arithmetic"</x:formula1>
    </x:dataValidation>
    <x:dataValidation type="list" sqref="C5:C64">
      <x:formula1>"Easy,Medium,Hard"</x:formula1>
    </x:dataValidation>
    <x:dataValidation type="list" sqref="N5:N64">
      <x:formula1>"Eligible,Out_of_Scope"</x:formula1>
    </x:dataValidation>
    <x:dataValidation type="list" sqref="P5:P64">
      <x:formula1>"Draft,Approved,Revise"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28757e1b2545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2" hidden="0" customWidth="1"/>
    <x:col min="5" max="5" width="10" hidden="0" customWidth="1"/>
    <x:col min="6" max="6" width="18" hidden="0" customWidth="1"/>
    <x:col min="7" max="7" width="30" hidden="0" customWidth="1"/>
    <x:col min="8" max="8" width="34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>
      <x:c r="A1" s="4" t="str">
        <x:v>UMC Simplified Financial Fact Store — 112–114 年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10" t="str">
        <x:v>數值來源為使用者提供之簡明財報截圖。'-' 以 Value 空白 + Value_Status=not_reported 保存；明確 0 以 reported_zero 保存。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15" hidden="0" customHeight="1">
      <x:c r="A4" s="18" t="str">
        <x:v>Fact_ID</x:v>
      </x:c>
      <x:c r="B4" s="18" t="str">
        <x:v>Company</x:v>
      </x:c>
      <x:c r="C4" s="18" t="str">
        <x:v>Stock_Code</x:v>
      </x:c>
      <x:c r="D4" s="18" t="str">
        <x:v>Fiscal_Year</x:v>
      </x:c>
      <x:c r="E4" s="18" t="str">
        <x:v>ROC_Year</x:v>
      </x:c>
      <x:c r="F4" s="18" t="str">
        <x:v>Statement</x:v>
      </x:c>
      <x:c r="G4" s="18" t="str">
        <x:v>Concept_ID</x:v>
      </x:c>
      <x:c r="H4" s="18" t="str">
        <x:v>Concept_ZH</x:v>
      </x:c>
      <x:c r="I4" s="18" t="str">
        <x:v>Value</x:v>
      </x:c>
      <x:c r="J4" s="18" t="str">
        <x:v>Value_Status</x:v>
      </x:c>
      <x:c r="K4" s="18" t="str">
        <x:v>Unit</x:v>
      </x:c>
      <x:c r="L4" s="18" t="str">
        <x:v>Period_Type</x:v>
      </x:c>
      <x:c r="M4" s="18" t="str">
        <x:v>Period_Start</x:v>
      </x:c>
      <x:c r="N4" s="18" t="str">
        <x:v>Period_End</x:v>
      </x:c>
      <x:c r="O4" s="18" t="str">
        <x:v>Source</x:v>
      </x:c>
    </x:row>
    <x:row r="5" ht="15" hidden="0" customHeight="1">
      <x:c r="A5" s="24" t="str">
        <x:v>UMC_2023_operating_revenue</x:v>
      </x:c>
      <x:c r="B5" s="24" t="str">
        <x:v>聯華電子股份有限公司</x:v>
      </x:c>
      <x:c r="C5" s="24" t="str">
        <x:v>2303</x:v>
      </x:c>
      <x:c r="D5" s="24" t="n">
        <x:v>2023</x:v>
      </x:c>
      <x:c r="E5" s="24" t="n">
        <x:v>112</x:v>
      </x:c>
      <x:c r="F5" s="24" t="str">
        <x:v>簡明綜合損益表</x:v>
      </x:c>
      <x:c r="G5" s="24" t="str">
        <x:v>operating_revenue</x:v>
      </x:c>
      <x:c r="H5" s="24" t="str">
        <x:v>營業收入</x:v>
      </x:c>
      <x:c r="I5" s="26" t="n">
        <x:v>222533000</x:v>
      </x:c>
      <x:c r="J5" s="24" t="str">
        <x:v>reported</x:v>
      </x:c>
      <x:c r="K5" s="24" t="str">
        <x:v>新臺幣仟元</x:v>
      </x:c>
      <x:c r="L5" s="24" t="str">
        <x:v>duration</x:v>
      </x:c>
      <x:c r="M5" s="24" t="str">
        <x:v>2023-01-01</x:v>
      </x:c>
      <x:c r="N5" s="24" t="str">
        <x:v>2023-12-31</x:v>
      </x:c>
      <x:c r="O5" s="24" t="str">
        <x:v>使用者提供之聯電簡明財報截圖</x:v>
      </x:c>
    </x:row>
    <x:row r="6" ht="15" hidden="0" customHeight="1">
      <x:c r="A6" s="24" t="str">
        <x:v>UMC_2024_operating_revenue</x:v>
      </x:c>
      <x:c r="B6" s="24" t="str">
        <x:v>聯華電子股份有限公司</x:v>
      </x:c>
      <x:c r="C6" s="24" t="str">
        <x:v>2303</x:v>
      </x:c>
      <x:c r="D6" s="24" t="n">
        <x:v>2024</x:v>
      </x:c>
      <x:c r="E6" s="24" t="n">
        <x:v>113</x:v>
      </x:c>
      <x:c r="F6" s="24" t="str">
        <x:v>簡明綜合損益表</x:v>
      </x:c>
      <x:c r="G6" s="24" t="str">
        <x:v>operating_revenue</x:v>
      </x:c>
      <x:c r="H6" s="24" t="str">
        <x:v>營業收入</x:v>
      </x:c>
      <x:c r="I6" s="26" t="n">
        <x:v>232302584</x:v>
      </x:c>
      <x:c r="J6" s="24" t="str">
        <x:v>reported</x:v>
      </x:c>
      <x:c r="K6" s="24" t="str">
        <x:v>新臺幣仟元</x:v>
      </x:c>
      <x:c r="L6" s="24" t="str">
        <x:v>duration</x:v>
      </x:c>
      <x:c r="M6" s="24" t="str">
        <x:v>2024-01-01</x:v>
      </x:c>
      <x:c r="N6" s="24" t="str">
        <x:v>2024-12-31</x:v>
      </x:c>
      <x:c r="O6" s="24" t="str">
        <x:v>使用者提供之聯電簡明財報截圖</x:v>
      </x:c>
    </x:row>
    <x:row r="7" ht="15" hidden="0" customHeight="1">
      <x:c r="A7" s="24" t="str">
        <x:v>UMC_2025_operating_revenue</x:v>
      </x:c>
      <x:c r="B7" s="24" t="str">
        <x:v>聯華電子股份有限公司</x:v>
      </x:c>
      <x:c r="C7" s="24" t="str">
        <x:v>2303</x:v>
      </x:c>
      <x:c r="D7" s="24" t="n">
        <x:v>2025</x:v>
      </x:c>
      <x:c r="E7" s="24" t="n">
        <x:v>114</x:v>
      </x:c>
      <x:c r="F7" s="24" t="str">
        <x:v>簡明綜合損益表</x:v>
      </x:c>
      <x:c r="G7" s="24" t="str">
        <x:v>operating_revenue</x:v>
      </x:c>
      <x:c r="H7" s="24" t="str">
        <x:v>營業收入</x:v>
      </x:c>
      <x:c r="I7" s="26" t="n">
        <x:v>237553199</x:v>
      </x:c>
      <x:c r="J7" s="24" t="str">
        <x:v>reported</x:v>
      </x:c>
      <x:c r="K7" s="24" t="str">
        <x:v>新臺幣仟元</x:v>
      </x:c>
      <x:c r="L7" s="24" t="str">
        <x:v>duration</x:v>
      </x:c>
      <x:c r="M7" s="24" t="str">
        <x:v>2025-01-01</x:v>
      </x:c>
      <x:c r="N7" s="24" t="str">
        <x:v>2025-12-31</x:v>
      </x:c>
      <x:c r="O7" s="24" t="str">
        <x:v>使用者提供之聯電簡明財報截圖</x:v>
      </x:c>
    </x:row>
    <x:row r="8" ht="15" hidden="0" customHeight="1">
      <x:c r="A8" s="24" t="str">
        <x:v>UMC_2023_operating_cost</x:v>
      </x:c>
      <x:c r="B8" s="24" t="str">
        <x:v>聯華電子股份有限公司</x:v>
      </x:c>
      <x:c r="C8" s="24" t="str">
        <x:v>2303</x:v>
      </x:c>
      <x:c r="D8" s="24" t="n">
        <x:v>2023</x:v>
      </x:c>
      <x:c r="E8" s="24" t="n">
        <x:v>112</x:v>
      </x:c>
      <x:c r="F8" s="24" t="str">
        <x:v>簡明綜合損益表</x:v>
      </x:c>
      <x:c r="G8" s="24" t="str">
        <x:v>operating_cost</x:v>
      </x:c>
      <x:c r="H8" s="24" t="str">
        <x:v>營業成本</x:v>
      </x:c>
      <x:c r="I8" s="26" t="n">
        <x:v>144789162</x:v>
      </x:c>
      <x:c r="J8" s="24" t="str">
        <x:v>reported</x:v>
      </x:c>
      <x:c r="K8" s="24" t="str">
        <x:v>新臺幣仟元</x:v>
      </x:c>
      <x:c r="L8" s="24" t="str">
        <x:v>duration</x:v>
      </x:c>
      <x:c r="M8" s="24" t="str">
        <x:v>2023-01-01</x:v>
      </x:c>
      <x:c r="N8" s="24" t="str">
        <x:v>2023-12-31</x:v>
      </x:c>
      <x:c r="O8" s="24" t="str">
        <x:v>使用者提供之聯電簡明財報截圖</x:v>
      </x:c>
    </x:row>
    <x:row r="9" ht="15" hidden="0" customHeight="1">
      <x:c r="A9" s="24" t="str">
        <x:v>UMC_2024_operating_cost</x:v>
      </x:c>
      <x:c r="B9" s="24" t="str">
        <x:v>聯華電子股份有限公司</x:v>
      </x:c>
      <x:c r="C9" s="24" t="str">
        <x:v>2303</x:v>
      </x:c>
      <x:c r="D9" s="24" t="n">
        <x:v>2024</x:v>
      </x:c>
      <x:c r="E9" s="24" t="n">
        <x:v>113</x:v>
      </x:c>
      <x:c r="F9" s="24" t="str">
        <x:v>簡明綜合損益表</x:v>
      </x:c>
      <x:c r="G9" s="24" t="str">
        <x:v>operating_cost</x:v>
      </x:c>
      <x:c r="H9" s="24" t="str">
        <x:v>營業成本</x:v>
      </x:c>
      <x:c r="I9" s="26" t="n">
        <x:v>156648504</x:v>
      </x:c>
      <x:c r="J9" s="24" t="str">
        <x:v>reported</x:v>
      </x:c>
      <x:c r="K9" s="24" t="str">
        <x:v>新臺幣仟元</x:v>
      </x:c>
      <x:c r="L9" s="24" t="str">
        <x:v>duration</x:v>
      </x:c>
      <x:c r="M9" s="24" t="str">
        <x:v>2024-01-01</x:v>
      </x:c>
      <x:c r="N9" s="24" t="str">
        <x:v>2024-12-31</x:v>
      </x:c>
      <x:c r="O9" s="24" t="str">
        <x:v>使用者提供之聯電簡明財報截圖</x:v>
      </x:c>
    </x:row>
    <x:row r="10" ht="15" hidden="0" customHeight="1">
      <x:c r="A10" s="24" t="str">
        <x:v>UMC_2025_operating_cost</x:v>
      </x:c>
      <x:c r="B10" s="24" t="str">
        <x:v>聯華電子股份有限公司</x:v>
      </x:c>
      <x:c r="C10" s="24" t="str">
        <x:v>2303</x:v>
      </x:c>
      <x:c r="D10" s="24" t="n">
        <x:v>2025</x:v>
      </x:c>
      <x:c r="E10" s="24" t="n">
        <x:v>114</x:v>
      </x:c>
      <x:c r="F10" s="24" t="str">
        <x:v>簡明綜合損益表</x:v>
      </x:c>
      <x:c r="G10" s="24" t="str">
        <x:v>operating_cost</x:v>
      </x:c>
      <x:c r="H10" s="24" t="str">
        <x:v>營業成本</x:v>
      </x:c>
      <x:c r="I10" s="26" t="n">
        <x:v>168646700</x:v>
      </x:c>
      <x:c r="J10" s="24" t="str">
        <x:v>reported</x:v>
      </x:c>
      <x:c r="K10" s="24" t="str">
        <x:v>新臺幣仟元</x:v>
      </x:c>
      <x:c r="L10" s="24" t="str">
        <x:v>duration</x:v>
      </x:c>
      <x:c r="M10" s="24" t="str">
        <x:v>2025-01-01</x:v>
      </x:c>
      <x:c r="N10" s="24" t="str">
        <x:v>2025-12-31</x:v>
      </x:c>
      <x:c r="O10" s="24" t="str">
        <x:v>使用者提供之聯電簡明財報截圖</x:v>
      </x:c>
    </x:row>
    <x:row r="11" ht="26.399999618530273" hidden="0" customHeight="1">
      <x:c r="A11" s="24" t="str">
        <x:v>UMC_2023_initial_biological_gain_loss</x:v>
      </x:c>
      <x:c r="B11" s="24" t="str">
        <x:v>聯華電子股份有限公司</x:v>
      </x:c>
      <x:c r="C11" s="24" t="str">
        <x:v>2303</x:v>
      </x:c>
      <x:c r="D11" s="24" t="n">
        <x:v>2023</x:v>
      </x:c>
      <x:c r="E11" s="24" t="n">
        <x:v>112</x:v>
      </x:c>
      <x:c r="F11" s="24" t="str">
        <x:v>簡明綜合損益表</x:v>
      </x:c>
      <x:c r="G11" s="24" t="str">
        <x:v>initial_biological_gain_loss</x:v>
      </x:c>
      <x:c r="H11" s="24" t="str">
        <x:v>原始認列生物資產及農產品之利益（損失）</x:v>
      </x:c>
      <x:c r="I11" s="26"/>
      <x:c r="J11" s="24" t="str">
        <x:v>not_reported</x:v>
      </x:c>
      <x:c r="K11" s="24" t="str">
        <x:v>新臺幣仟元</x:v>
      </x:c>
      <x:c r="L11" s="24" t="str">
        <x:v>duration</x:v>
      </x:c>
      <x:c r="M11" s="24" t="str">
        <x:v>2023-01-01</x:v>
      </x:c>
      <x:c r="N11" s="24" t="str">
        <x:v>2023-12-31</x:v>
      </x:c>
      <x:c r="O11" s="24" t="str">
        <x:v>使用者提供之聯電簡明財報截圖</x:v>
      </x:c>
    </x:row>
    <x:row r="12" ht="26.399999618530273" hidden="0" customHeight="1">
      <x:c r="A12" s="24" t="str">
        <x:v>UMC_2024_initial_biological_gain_loss</x:v>
      </x:c>
      <x:c r="B12" s="24" t="str">
        <x:v>聯華電子股份有限公司</x:v>
      </x:c>
      <x:c r="C12" s="24" t="str">
        <x:v>2303</x:v>
      </x:c>
      <x:c r="D12" s="24" t="n">
        <x:v>2024</x:v>
      </x:c>
      <x:c r="E12" s="24" t="n">
        <x:v>113</x:v>
      </x:c>
      <x:c r="F12" s="24" t="str">
        <x:v>簡明綜合損益表</x:v>
      </x:c>
      <x:c r="G12" s="24" t="str">
        <x:v>initial_biological_gain_loss</x:v>
      </x:c>
      <x:c r="H12" s="24" t="str">
        <x:v>原始認列生物資產及農產品之利益（損失）</x:v>
      </x:c>
      <x:c r="I12" s="26"/>
      <x:c r="J12" s="24" t="str">
        <x:v>not_reported</x:v>
      </x:c>
      <x:c r="K12" s="24" t="str">
        <x:v>新臺幣仟元</x:v>
      </x:c>
      <x:c r="L12" s="24" t="str">
        <x:v>duration</x:v>
      </x:c>
      <x:c r="M12" s="24" t="str">
        <x:v>2024-01-01</x:v>
      </x:c>
      <x:c r="N12" s="24" t="str">
        <x:v>2024-12-31</x:v>
      </x:c>
      <x:c r="O12" s="24" t="str">
        <x:v>使用者提供之聯電簡明財報截圖</x:v>
      </x:c>
    </x:row>
    <x:row r="13" ht="26.399999618530273" hidden="0" customHeight="1">
      <x:c r="A13" s="24" t="str">
        <x:v>UMC_2025_initial_biological_gain_loss</x:v>
      </x:c>
      <x:c r="B13" s="24" t="str">
        <x:v>聯華電子股份有限公司</x:v>
      </x:c>
      <x:c r="C13" s="24" t="str">
        <x:v>2303</x:v>
      </x:c>
      <x:c r="D13" s="24" t="n">
        <x:v>2025</x:v>
      </x:c>
      <x:c r="E13" s="24" t="n">
        <x:v>114</x:v>
      </x:c>
      <x:c r="F13" s="24" t="str">
        <x:v>簡明綜合損益表</x:v>
      </x:c>
      <x:c r="G13" s="24" t="str">
        <x:v>initial_biological_gain_loss</x:v>
      </x:c>
      <x:c r="H13" s="24" t="str">
        <x:v>原始認列生物資產及農產品之利益（損失）</x:v>
      </x:c>
      <x:c r="I13" s="26"/>
      <x:c r="J13" s="24" t="str">
        <x:v>not_reported</x:v>
      </x:c>
      <x:c r="K13" s="24" t="str">
        <x:v>新臺幣仟元</x:v>
      </x:c>
      <x:c r="L13" s="24" t="str">
        <x:v>duration</x:v>
      </x:c>
      <x:c r="M13" s="24" t="str">
        <x:v>2025-01-01</x:v>
      </x:c>
      <x:c r="N13" s="24" t="str">
        <x:v>2025-12-31</x:v>
      </x:c>
      <x:c r="O13" s="24" t="str">
        <x:v>使用者提供之聯電簡明財報截圖</x:v>
      </x:c>
    </x:row>
    <x:row r="14" ht="26.399999618530273" hidden="0" customHeight="1">
      <x:c r="A14" s="24" t="str">
        <x:v>UMC_2023_biological_fv_change_gain_loss</x:v>
      </x:c>
      <x:c r="B14" s="24" t="str">
        <x:v>聯華電子股份有限公司</x:v>
      </x:c>
      <x:c r="C14" s="24" t="str">
        <x:v>2303</x:v>
      </x:c>
      <x:c r="D14" s="24" t="n">
        <x:v>2023</x:v>
      </x:c>
      <x:c r="E14" s="24" t="n">
        <x:v>112</x:v>
      </x:c>
      <x:c r="F14" s="24" t="str">
        <x:v>簡明綜合損益表</x:v>
      </x:c>
      <x:c r="G14" s="24" t="str">
        <x:v>biological_fv_change_gain_loss</x:v>
      </x:c>
      <x:c r="H14" s="24" t="str">
        <x:v>生物資產當期公允價值減出售成本之變動利益（損失）</x:v>
      </x:c>
      <x:c r="I14" s="26"/>
      <x:c r="J14" s="24" t="str">
        <x:v>not_reported</x:v>
      </x:c>
      <x:c r="K14" s="24" t="str">
        <x:v>新臺幣仟元</x:v>
      </x:c>
      <x:c r="L14" s="24" t="str">
        <x:v>duration</x:v>
      </x:c>
      <x:c r="M14" s="24" t="str">
        <x:v>2023-01-01</x:v>
      </x:c>
      <x:c r="N14" s="24" t="str">
        <x:v>2023-12-31</x:v>
      </x:c>
      <x:c r="O14" s="24" t="str">
        <x:v>使用者提供之聯電簡明財報截圖</x:v>
      </x:c>
    </x:row>
    <x:row r="15" ht="26.399999618530273" hidden="0" customHeight="1">
      <x:c r="A15" s="24" t="str">
        <x:v>UMC_2024_biological_fv_change_gain_loss</x:v>
      </x:c>
      <x:c r="B15" s="24" t="str">
        <x:v>聯華電子股份有限公司</x:v>
      </x:c>
      <x:c r="C15" s="24" t="str">
        <x:v>2303</x:v>
      </x:c>
      <x:c r="D15" s="24" t="n">
        <x:v>2024</x:v>
      </x:c>
      <x:c r="E15" s="24" t="n">
        <x:v>113</x:v>
      </x:c>
      <x:c r="F15" s="24" t="str">
        <x:v>簡明綜合損益表</x:v>
      </x:c>
      <x:c r="G15" s="24" t="str">
        <x:v>biological_fv_change_gain_loss</x:v>
      </x:c>
      <x:c r="H15" s="24" t="str">
        <x:v>生物資產當期公允價值減出售成本之變動利益（損失）</x:v>
      </x:c>
      <x:c r="I15" s="26"/>
      <x:c r="J15" s="24" t="str">
        <x:v>not_reported</x:v>
      </x:c>
      <x:c r="K15" s="24" t="str">
        <x:v>新臺幣仟元</x:v>
      </x:c>
      <x:c r="L15" s="24" t="str">
        <x:v>duration</x:v>
      </x:c>
      <x:c r="M15" s="24" t="str">
        <x:v>2024-01-01</x:v>
      </x:c>
      <x:c r="N15" s="24" t="str">
        <x:v>2024-12-31</x:v>
      </x:c>
      <x:c r="O15" s="24" t="str">
        <x:v>使用者提供之聯電簡明財報截圖</x:v>
      </x:c>
    </x:row>
    <x:row r="16" ht="26.399999618530273" hidden="0" customHeight="1">
      <x:c r="A16" s="24" t="str">
        <x:v>UMC_2025_biological_fv_change_gain_loss</x:v>
      </x:c>
      <x:c r="B16" s="24" t="str">
        <x:v>聯華電子股份有限公司</x:v>
      </x:c>
      <x:c r="C16" s="24" t="str">
        <x:v>2303</x:v>
      </x:c>
      <x:c r="D16" s="24" t="n">
        <x:v>2025</x:v>
      </x:c>
      <x:c r="E16" s="24" t="n">
        <x:v>114</x:v>
      </x:c>
      <x:c r="F16" s="24" t="str">
        <x:v>簡明綜合損益表</x:v>
      </x:c>
      <x:c r="G16" s="24" t="str">
        <x:v>biological_fv_change_gain_loss</x:v>
      </x:c>
      <x:c r="H16" s="24" t="str">
        <x:v>生物資產當期公允價值減出售成本之變動利益（損失）</x:v>
      </x:c>
      <x:c r="I16" s="26"/>
      <x:c r="J16" s="24" t="str">
        <x:v>not_reported</x:v>
      </x:c>
      <x:c r="K16" s="24" t="str">
        <x:v>新臺幣仟元</x:v>
      </x:c>
      <x:c r="L16" s="24" t="str">
        <x:v>duration</x:v>
      </x:c>
      <x:c r="M16" s="24" t="str">
        <x:v>2025-01-01</x:v>
      </x:c>
      <x:c r="N16" s="24" t="str">
        <x:v>2025-12-31</x:v>
      </x:c>
      <x:c r="O16" s="24" t="str">
        <x:v>使用者提供之聯電簡明財報截圖</x:v>
      </x:c>
    </x:row>
    <x:row r="17" ht="15" hidden="0" customHeight="1">
      <x:c r="A17" s="24" t="str">
        <x:v>UMC_2023_gross_profit</x:v>
      </x:c>
      <x:c r="B17" s="24" t="str">
        <x:v>聯華電子股份有限公司</x:v>
      </x:c>
      <x:c r="C17" s="24" t="str">
        <x:v>2303</x:v>
      </x:c>
      <x:c r="D17" s="24" t="n">
        <x:v>2023</x:v>
      </x:c>
      <x:c r="E17" s="24" t="n">
        <x:v>112</x:v>
      </x:c>
      <x:c r="F17" s="24" t="str">
        <x:v>簡明綜合損益表</x:v>
      </x:c>
      <x:c r="G17" s="24" t="str">
        <x:v>gross_profit</x:v>
      </x:c>
      <x:c r="H17" s="24" t="str">
        <x:v>營業毛利（毛損）</x:v>
      </x:c>
      <x:c r="I17" s="26" t="n">
        <x:v>77743838</x:v>
      </x:c>
      <x:c r="J17" s="24" t="str">
        <x:v>reported</x:v>
      </x:c>
      <x:c r="K17" s="24" t="str">
        <x:v>新臺幣仟元</x:v>
      </x:c>
      <x:c r="L17" s="24" t="str">
        <x:v>duration</x:v>
      </x:c>
      <x:c r="M17" s="24" t="str">
        <x:v>2023-01-01</x:v>
      </x:c>
      <x:c r="N17" s="24" t="str">
        <x:v>2023-12-31</x:v>
      </x:c>
      <x:c r="O17" s="24" t="str">
        <x:v>使用者提供之聯電簡明財報截圖</x:v>
      </x:c>
    </x:row>
    <x:row r="18" ht="15" hidden="0" customHeight="1">
      <x:c r="A18" s="24" t="str">
        <x:v>UMC_2024_gross_profit</x:v>
      </x:c>
      <x:c r="B18" s="24" t="str">
        <x:v>聯華電子股份有限公司</x:v>
      </x:c>
      <x:c r="C18" s="24" t="str">
        <x:v>2303</x:v>
      </x:c>
      <x:c r="D18" s="24" t="n">
        <x:v>2024</x:v>
      </x:c>
      <x:c r="E18" s="24" t="n">
        <x:v>113</x:v>
      </x:c>
      <x:c r="F18" s="24" t="str">
        <x:v>簡明綜合損益表</x:v>
      </x:c>
      <x:c r="G18" s="24" t="str">
        <x:v>gross_profit</x:v>
      </x:c>
      <x:c r="H18" s="24" t="str">
        <x:v>營業毛利（毛損）</x:v>
      </x:c>
      <x:c r="I18" s="26" t="n">
        <x:v>75654080</x:v>
      </x:c>
      <x:c r="J18" s="24" t="str">
        <x:v>reported</x:v>
      </x:c>
      <x:c r="K18" s="24" t="str">
        <x:v>新臺幣仟元</x:v>
      </x:c>
      <x:c r="L18" s="24" t="str">
        <x:v>duration</x:v>
      </x:c>
      <x:c r="M18" s="24" t="str">
        <x:v>2024-01-01</x:v>
      </x:c>
      <x:c r="N18" s="24" t="str">
        <x:v>2024-12-31</x:v>
      </x:c>
      <x:c r="O18" s="24" t="str">
        <x:v>使用者提供之聯電簡明財報截圖</x:v>
      </x:c>
    </x:row>
    <x:row r="19" ht="15" hidden="0" customHeight="1">
      <x:c r="A19" s="24" t="str">
        <x:v>UMC_2025_gross_profit</x:v>
      </x:c>
      <x:c r="B19" s="24" t="str">
        <x:v>聯華電子股份有限公司</x:v>
      </x:c>
      <x:c r="C19" s="24" t="str">
        <x:v>2303</x:v>
      </x:c>
      <x:c r="D19" s="24" t="n">
        <x:v>2025</x:v>
      </x:c>
      <x:c r="E19" s="24" t="n">
        <x:v>114</x:v>
      </x:c>
      <x:c r="F19" s="24" t="str">
        <x:v>簡明綜合損益表</x:v>
      </x:c>
      <x:c r="G19" s="24" t="str">
        <x:v>gross_profit</x:v>
      </x:c>
      <x:c r="H19" s="24" t="str">
        <x:v>營業毛利（毛損）</x:v>
      </x:c>
      <x:c r="I19" s="26" t="n">
        <x:v>68906499</x:v>
      </x:c>
      <x:c r="J19" s="24" t="str">
        <x:v>reported</x:v>
      </x:c>
      <x:c r="K19" s="24" t="str">
        <x:v>新臺幣仟元</x:v>
      </x:c>
      <x:c r="L19" s="24" t="str">
        <x:v>duration</x:v>
      </x:c>
      <x:c r="M19" s="24" t="str">
        <x:v>2025-01-01</x:v>
      </x:c>
      <x:c r="N19" s="24" t="str">
        <x:v>2025-12-31</x:v>
      </x:c>
      <x:c r="O19" s="24" t="str">
        <x:v>使用者提供之聯電簡明財報截圖</x:v>
      </x:c>
    </x:row>
    <x:row r="20" ht="26.399999618530273" hidden="0" customHeight="1">
      <x:c r="A20" s="24" t="str">
        <x:v>UMC_2023_unrealized_sales_gain_loss</x:v>
      </x:c>
      <x:c r="B20" s="24" t="str">
        <x:v>聯華電子股份有限公司</x:v>
      </x:c>
      <x:c r="C20" s="24" t="str">
        <x:v>2303</x:v>
      </x:c>
      <x:c r="D20" s="24" t="n">
        <x:v>2023</x:v>
      </x:c>
      <x:c r="E20" s="24" t="n">
        <x:v>112</x:v>
      </x:c>
      <x:c r="F20" s="24" t="str">
        <x:v>簡明綜合損益表</x:v>
      </x:c>
      <x:c r="G20" s="24" t="str">
        <x:v>unrealized_sales_gain_loss</x:v>
      </x:c>
      <x:c r="H20" s="24" t="str">
        <x:v>未實現銷貨（損）益</x:v>
      </x:c>
      <x:c r="I20" s="26"/>
      <x:c r="J20" s="24" t="str">
        <x:v>not_reported</x:v>
      </x:c>
      <x:c r="K20" s="24" t="str">
        <x:v>新臺幣仟元</x:v>
      </x:c>
      <x:c r="L20" s="24" t="str">
        <x:v>duration</x:v>
      </x:c>
      <x:c r="M20" s="24" t="str">
        <x:v>2023-01-01</x:v>
      </x:c>
      <x:c r="N20" s="24" t="str">
        <x:v>2023-12-31</x:v>
      </x:c>
      <x:c r="O20" s="24" t="str">
        <x:v>使用者提供之聯電簡明財報截圖</x:v>
      </x:c>
    </x:row>
    <x:row r="21" ht="26.399999618530273" hidden="0" customHeight="1">
      <x:c r="A21" s="24" t="str">
        <x:v>UMC_2024_unrealized_sales_gain_loss</x:v>
      </x:c>
      <x:c r="B21" s="24" t="str">
        <x:v>聯華電子股份有限公司</x:v>
      </x:c>
      <x:c r="C21" s="24" t="str">
        <x:v>2303</x:v>
      </x:c>
      <x:c r="D21" s="24" t="n">
        <x:v>2024</x:v>
      </x:c>
      <x:c r="E21" s="24" t="n">
        <x:v>113</x:v>
      </x:c>
      <x:c r="F21" s="24" t="str">
        <x:v>簡明綜合損益表</x:v>
      </x:c>
      <x:c r="G21" s="24" t="str">
        <x:v>unrealized_sales_gain_loss</x:v>
      </x:c>
      <x:c r="H21" s="24" t="str">
        <x:v>未實現銷貨（損）益</x:v>
      </x:c>
      <x:c r="I21" s="26"/>
      <x:c r="J21" s="24" t="str">
        <x:v>not_reported</x:v>
      </x:c>
      <x:c r="K21" s="24" t="str">
        <x:v>新臺幣仟元</x:v>
      </x:c>
      <x:c r="L21" s="24" t="str">
        <x:v>duration</x:v>
      </x:c>
      <x:c r="M21" s="24" t="str">
        <x:v>2024-01-01</x:v>
      </x:c>
      <x:c r="N21" s="24" t="str">
        <x:v>2024-12-31</x:v>
      </x:c>
      <x:c r="O21" s="24" t="str">
        <x:v>使用者提供之聯電簡明財報截圖</x:v>
      </x:c>
    </x:row>
    <x:row r="22" ht="26.399999618530273" hidden="0" customHeight="1">
      <x:c r="A22" s="24" t="str">
        <x:v>UMC_2025_unrealized_sales_gain_loss</x:v>
      </x:c>
      <x:c r="B22" s="24" t="str">
        <x:v>聯華電子股份有限公司</x:v>
      </x:c>
      <x:c r="C22" s="24" t="str">
        <x:v>2303</x:v>
      </x:c>
      <x:c r="D22" s="24" t="n">
        <x:v>2025</x:v>
      </x:c>
      <x:c r="E22" s="24" t="n">
        <x:v>114</x:v>
      </x:c>
      <x:c r="F22" s="24" t="str">
        <x:v>簡明綜合損益表</x:v>
      </x:c>
      <x:c r="G22" s="24" t="str">
        <x:v>unrealized_sales_gain_loss</x:v>
      </x:c>
      <x:c r="H22" s="24" t="str">
        <x:v>未實現銷貨（損）益</x:v>
      </x:c>
      <x:c r="I22" s="26"/>
      <x:c r="J22" s="24" t="str">
        <x:v>not_reported</x:v>
      </x:c>
      <x:c r="K22" s="24" t="str">
        <x:v>新臺幣仟元</x:v>
      </x:c>
      <x:c r="L22" s="24" t="str">
        <x:v>duration</x:v>
      </x:c>
      <x:c r="M22" s="24" t="str">
        <x:v>2025-01-01</x:v>
      </x:c>
      <x:c r="N22" s="24" t="str">
        <x:v>2025-12-31</x:v>
      </x:c>
      <x:c r="O22" s="24" t="str">
        <x:v>使用者提供之聯電簡明財報截圖</x:v>
      </x:c>
    </x:row>
    <x:row r="23" ht="15" hidden="0" customHeight="1">
      <x:c r="A23" s="24" t="str">
        <x:v>UMC_2023_realized_sales_gain_loss</x:v>
      </x:c>
      <x:c r="B23" s="24" t="str">
        <x:v>聯華電子股份有限公司</x:v>
      </x:c>
      <x:c r="C23" s="24" t="str">
        <x:v>2303</x:v>
      </x:c>
      <x:c r="D23" s="24" t="n">
        <x:v>2023</x:v>
      </x:c>
      <x:c r="E23" s="24" t="n">
        <x:v>112</x:v>
      </x:c>
      <x:c r="F23" s="24" t="str">
        <x:v>簡明綜合損益表</x:v>
      </x:c>
      <x:c r="G23" s="24" t="str">
        <x:v>realized_sales_gain_loss</x:v>
      </x:c>
      <x:c r="H23" s="24" t="str">
        <x:v>已實現銷貨（損）益</x:v>
      </x:c>
      <x:c r="I23" s="26"/>
      <x:c r="J23" s="24" t="str">
        <x:v>not_reported</x:v>
      </x:c>
      <x:c r="K23" s="24" t="str">
        <x:v>新臺幣仟元</x:v>
      </x:c>
      <x:c r="L23" s="24" t="str">
        <x:v>duration</x:v>
      </x:c>
      <x:c r="M23" s="24" t="str">
        <x:v>2023-01-01</x:v>
      </x:c>
      <x:c r="N23" s="24" t="str">
        <x:v>2023-12-31</x:v>
      </x:c>
      <x:c r="O23" s="24" t="str">
        <x:v>使用者提供之聯電簡明財報截圖</x:v>
      </x:c>
    </x:row>
    <x:row r="24" ht="15" hidden="0" customHeight="1">
      <x:c r="A24" s="24" t="str">
        <x:v>UMC_2024_realized_sales_gain_loss</x:v>
      </x:c>
      <x:c r="B24" s="24" t="str">
        <x:v>聯華電子股份有限公司</x:v>
      </x:c>
      <x:c r="C24" s="24" t="str">
        <x:v>2303</x:v>
      </x:c>
      <x:c r="D24" s="24" t="n">
        <x:v>2024</x:v>
      </x:c>
      <x:c r="E24" s="24" t="n">
        <x:v>113</x:v>
      </x:c>
      <x:c r="F24" s="24" t="str">
        <x:v>簡明綜合損益表</x:v>
      </x:c>
      <x:c r="G24" s="24" t="str">
        <x:v>realized_sales_gain_loss</x:v>
      </x:c>
      <x:c r="H24" s="24" t="str">
        <x:v>已實現銷貨（損）益</x:v>
      </x:c>
      <x:c r="I24" s="26"/>
      <x:c r="J24" s="24" t="str">
        <x:v>not_reported</x:v>
      </x:c>
      <x:c r="K24" s="24" t="str">
        <x:v>新臺幣仟元</x:v>
      </x:c>
      <x:c r="L24" s="24" t="str">
        <x:v>duration</x:v>
      </x:c>
      <x:c r="M24" s="24" t="str">
        <x:v>2024-01-01</x:v>
      </x:c>
      <x:c r="N24" s="24" t="str">
        <x:v>2024-12-31</x:v>
      </x:c>
      <x:c r="O24" s="24" t="str">
        <x:v>使用者提供之聯電簡明財報截圖</x:v>
      </x:c>
    </x:row>
    <x:row r="25" ht="15" hidden="0" customHeight="1">
      <x:c r="A25" s="24" t="str">
        <x:v>UMC_2025_realized_sales_gain_loss</x:v>
      </x:c>
      <x:c r="B25" s="24" t="str">
        <x:v>聯華電子股份有限公司</x:v>
      </x:c>
      <x:c r="C25" s="24" t="str">
        <x:v>2303</x:v>
      </x:c>
      <x:c r="D25" s="24" t="n">
        <x:v>2025</x:v>
      </x:c>
      <x:c r="E25" s="24" t="n">
        <x:v>114</x:v>
      </x:c>
      <x:c r="F25" s="24" t="str">
        <x:v>簡明綜合損益表</x:v>
      </x:c>
      <x:c r="G25" s="24" t="str">
        <x:v>realized_sales_gain_loss</x:v>
      </x:c>
      <x:c r="H25" s="24" t="str">
        <x:v>已實現銷貨（損）益</x:v>
      </x:c>
      <x:c r="I25" s="26"/>
      <x:c r="J25" s="24" t="str">
        <x:v>not_reported</x:v>
      </x:c>
      <x:c r="K25" s="24" t="str">
        <x:v>新臺幣仟元</x:v>
      </x:c>
      <x:c r="L25" s="24" t="str">
        <x:v>duration</x:v>
      </x:c>
      <x:c r="M25" s="24" t="str">
        <x:v>2025-01-01</x:v>
      </x:c>
      <x:c r="N25" s="24" t="str">
        <x:v>2025-12-31</x:v>
      </x:c>
      <x:c r="O25" s="24" t="str">
        <x:v>使用者提供之聯電簡明財報截圖</x:v>
      </x:c>
    </x:row>
    <x:row r="26" ht="15" hidden="0" customHeight="1">
      <x:c r="A26" s="24" t="str">
        <x:v>UMC_2023_gross_profit_net</x:v>
      </x:c>
      <x:c r="B26" s="24" t="str">
        <x:v>聯華電子股份有限公司</x:v>
      </x:c>
      <x:c r="C26" s="24" t="str">
        <x:v>2303</x:v>
      </x:c>
      <x:c r="D26" s="24" t="n">
        <x:v>2023</x:v>
      </x:c>
      <x:c r="E26" s="24" t="n">
        <x:v>112</x:v>
      </x:c>
      <x:c r="F26" s="24" t="str">
        <x:v>簡明綜合損益表</x:v>
      </x:c>
      <x:c r="G26" s="24" t="str">
        <x:v>gross_profit_net</x:v>
      </x:c>
      <x:c r="H26" s="24" t="str">
        <x:v>營業毛利（毛損）淨額</x:v>
      </x:c>
      <x:c r="I26" s="26" t="n">
        <x:v>77743838</x:v>
      </x:c>
      <x:c r="J26" s="24" t="str">
        <x:v>reported</x:v>
      </x:c>
      <x:c r="K26" s="24" t="str">
        <x:v>新臺幣仟元</x:v>
      </x:c>
      <x:c r="L26" s="24" t="str">
        <x:v>duration</x:v>
      </x:c>
      <x:c r="M26" s="24" t="str">
        <x:v>2023-01-01</x:v>
      </x:c>
      <x:c r="N26" s="24" t="str">
        <x:v>2023-12-31</x:v>
      </x:c>
      <x:c r="O26" s="24" t="str">
        <x:v>使用者提供之聯電簡明財報截圖</x:v>
      </x:c>
    </x:row>
    <x:row r="27" ht="15" hidden="0" customHeight="1">
      <x:c r="A27" s="24" t="str">
        <x:v>UMC_2024_gross_profit_net</x:v>
      </x:c>
      <x:c r="B27" s="24" t="str">
        <x:v>聯華電子股份有限公司</x:v>
      </x:c>
      <x:c r="C27" s="24" t="str">
        <x:v>2303</x:v>
      </x:c>
      <x:c r="D27" s="24" t="n">
        <x:v>2024</x:v>
      </x:c>
      <x:c r="E27" s="24" t="n">
        <x:v>113</x:v>
      </x:c>
      <x:c r="F27" s="24" t="str">
        <x:v>簡明綜合損益表</x:v>
      </x:c>
      <x:c r="G27" s="24" t="str">
        <x:v>gross_profit_net</x:v>
      </x:c>
      <x:c r="H27" s="24" t="str">
        <x:v>營業毛利（毛損）淨額</x:v>
      </x:c>
      <x:c r="I27" s="26" t="n">
        <x:v>75654080</x:v>
      </x:c>
      <x:c r="J27" s="24" t="str">
        <x:v>reported</x:v>
      </x:c>
      <x:c r="K27" s="24" t="str">
        <x:v>新臺幣仟元</x:v>
      </x:c>
      <x:c r="L27" s="24" t="str">
        <x:v>duration</x:v>
      </x:c>
      <x:c r="M27" s="24" t="str">
        <x:v>2024-01-01</x:v>
      </x:c>
      <x:c r="N27" s="24" t="str">
        <x:v>2024-12-31</x:v>
      </x:c>
      <x:c r="O27" s="24" t="str">
        <x:v>使用者提供之聯電簡明財報截圖</x:v>
      </x:c>
    </x:row>
    <x:row r="28" ht="15" hidden="0" customHeight="1">
      <x:c r="A28" s="24" t="str">
        <x:v>UMC_2025_gross_profit_net</x:v>
      </x:c>
      <x:c r="B28" s="24" t="str">
        <x:v>聯華電子股份有限公司</x:v>
      </x:c>
      <x:c r="C28" s="24" t="str">
        <x:v>2303</x:v>
      </x:c>
      <x:c r="D28" s="24" t="n">
        <x:v>2025</x:v>
      </x:c>
      <x:c r="E28" s="24" t="n">
        <x:v>114</x:v>
      </x:c>
      <x:c r="F28" s="24" t="str">
        <x:v>簡明綜合損益表</x:v>
      </x:c>
      <x:c r="G28" s="24" t="str">
        <x:v>gross_profit_net</x:v>
      </x:c>
      <x:c r="H28" s="24" t="str">
        <x:v>營業毛利（毛損）淨額</x:v>
      </x:c>
      <x:c r="I28" s="26" t="n">
        <x:v>68906499</x:v>
      </x:c>
      <x:c r="J28" s="24" t="str">
        <x:v>reported</x:v>
      </x:c>
      <x:c r="K28" s="24" t="str">
        <x:v>新臺幣仟元</x:v>
      </x:c>
      <x:c r="L28" s="24" t="str">
        <x:v>duration</x:v>
      </x:c>
      <x:c r="M28" s="24" t="str">
        <x:v>2025-01-01</x:v>
      </x:c>
      <x:c r="N28" s="24" t="str">
        <x:v>2025-12-31</x:v>
      </x:c>
      <x:c r="O28" s="24" t="str">
        <x:v>使用者提供之聯電簡明財報截圖</x:v>
      </x:c>
    </x:row>
    <x:row r="29" ht="15" hidden="0" customHeight="1">
      <x:c r="A29" s="24" t="str">
        <x:v>UMC_2023_operating_expenses</x:v>
      </x:c>
      <x:c r="B29" s="24" t="str">
        <x:v>聯華電子股份有限公司</x:v>
      </x:c>
      <x:c r="C29" s="24" t="str">
        <x:v>2303</x:v>
      </x:c>
      <x:c r="D29" s="24" t="n">
        <x:v>2023</x:v>
      </x:c>
      <x:c r="E29" s="24" t="n">
        <x:v>112</x:v>
      </x:c>
      <x:c r="F29" s="24" t="str">
        <x:v>簡明綜合損益表</x:v>
      </x:c>
      <x:c r="G29" s="24" t="str">
        <x:v>operating_expenses</x:v>
      </x:c>
      <x:c r="H29" s="24" t="str">
        <x:v>營業費用</x:v>
      </x:c>
      <x:c r="I29" s="26" t="n">
        <x:v>23855503</x:v>
      </x:c>
      <x:c r="J29" s="24" t="str">
        <x:v>reported</x:v>
      </x:c>
      <x:c r="K29" s="24" t="str">
        <x:v>新臺幣仟元</x:v>
      </x:c>
      <x:c r="L29" s="24" t="str">
        <x:v>duration</x:v>
      </x:c>
      <x:c r="M29" s="24" t="str">
        <x:v>2023-01-01</x:v>
      </x:c>
      <x:c r="N29" s="24" t="str">
        <x:v>2023-12-31</x:v>
      </x:c>
      <x:c r="O29" s="24" t="str">
        <x:v>使用者提供之聯電簡明財報截圖</x:v>
      </x:c>
    </x:row>
    <x:row r="30" ht="15" hidden="0" customHeight="1">
      <x:c r="A30" s="24" t="str">
        <x:v>UMC_2024_operating_expenses</x:v>
      </x:c>
      <x:c r="B30" s="24" t="str">
        <x:v>聯華電子股份有限公司</x:v>
      </x:c>
      <x:c r="C30" s="24" t="str">
        <x:v>2303</x:v>
      </x:c>
      <x:c r="D30" s="24" t="n">
        <x:v>2024</x:v>
      </x:c>
      <x:c r="E30" s="24" t="n">
        <x:v>113</x:v>
      </x:c>
      <x:c r="F30" s="24" t="str">
        <x:v>簡明綜合損益表</x:v>
      </x:c>
      <x:c r="G30" s="24" t="str">
        <x:v>operating_expenses</x:v>
      </x:c>
      <x:c r="H30" s="24" t="str">
        <x:v>營業費用</x:v>
      </x:c>
      <x:c r="I30" s="26" t="n">
        <x:v>25365419</x:v>
      </x:c>
      <x:c r="J30" s="24" t="str">
        <x:v>reported</x:v>
      </x:c>
      <x:c r="K30" s="24" t="str">
        <x:v>新臺幣仟元</x:v>
      </x:c>
      <x:c r="L30" s="24" t="str">
        <x:v>duration</x:v>
      </x:c>
      <x:c r="M30" s="24" t="str">
        <x:v>2024-01-01</x:v>
      </x:c>
      <x:c r="N30" s="24" t="str">
        <x:v>2024-12-31</x:v>
      </x:c>
      <x:c r="O30" s="24" t="str">
        <x:v>使用者提供之聯電簡明財報截圖</x:v>
      </x:c>
    </x:row>
    <x:row r="31" ht="15" hidden="0" customHeight="1">
      <x:c r="A31" s="24" t="str">
        <x:v>UMC_2025_operating_expenses</x:v>
      </x:c>
      <x:c r="B31" s="24" t="str">
        <x:v>聯華電子股份有限公司</x:v>
      </x:c>
      <x:c r="C31" s="24" t="str">
        <x:v>2303</x:v>
      </x:c>
      <x:c r="D31" s="24" t="n">
        <x:v>2025</x:v>
      </x:c>
      <x:c r="E31" s="24" t="n">
        <x:v>114</x:v>
      </x:c>
      <x:c r="F31" s="24" t="str">
        <x:v>簡明綜合損益表</x:v>
      </x:c>
      <x:c r="G31" s="24" t="str">
        <x:v>operating_expenses</x:v>
      </x:c>
      <x:c r="H31" s="24" t="str">
        <x:v>營業費用</x:v>
      </x:c>
      <x:c r="I31" s="26" t="n">
        <x:v>26947690</x:v>
      </x:c>
      <x:c r="J31" s="24" t="str">
        <x:v>reported</x:v>
      </x:c>
      <x:c r="K31" s="24" t="str">
        <x:v>新臺幣仟元</x:v>
      </x:c>
      <x:c r="L31" s="24" t="str">
        <x:v>duration</x:v>
      </x:c>
      <x:c r="M31" s="24" t="str">
        <x:v>2025-01-01</x:v>
      </x:c>
      <x:c r="N31" s="24" t="str">
        <x:v>2025-12-31</x:v>
      </x:c>
      <x:c r="O31" s="24" t="str">
        <x:v>使用者提供之聯電簡明財報截圖</x:v>
      </x:c>
    </x:row>
    <x:row r="32" ht="26.399999618530273" hidden="0" customHeight="1">
      <x:c r="A32" s="24" t="str">
        <x:v>UMC_2023_other_income_expenses_net</x:v>
      </x:c>
      <x:c r="B32" s="24" t="str">
        <x:v>聯華電子股份有限公司</x:v>
      </x:c>
      <x:c r="C32" s="24" t="str">
        <x:v>2303</x:v>
      </x:c>
      <x:c r="D32" s="24" t="n">
        <x:v>2023</x:v>
      </x:c>
      <x:c r="E32" s="24" t="n">
        <x:v>112</x:v>
      </x:c>
      <x:c r="F32" s="24" t="str">
        <x:v>簡明綜合損益表</x:v>
      </x:c>
      <x:c r="G32" s="24" t="str">
        <x:v>other_income_expenses_net</x:v>
      </x:c>
      <x:c r="H32" s="24" t="str">
        <x:v>其他收益及費損淨額</x:v>
      </x:c>
      <x:c r="I32" s="26" t="n">
        <x:v>4002326</x:v>
      </x:c>
      <x:c r="J32" s="24" t="str">
        <x:v>reported</x:v>
      </x:c>
      <x:c r="K32" s="24" t="str">
        <x:v>新臺幣仟元</x:v>
      </x:c>
      <x:c r="L32" s="24" t="str">
        <x:v>duration</x:v>
      </x:c>
      <x:c r="M32" s="24" t="str">
        <x:v>2023-01-01</x:v>
      </x:c>
      <x:c r="N32" s="24" t="str">
        <x:v>2023-12-31</x:v>
      </x:c>
      <x:c r="O32" s="24" t="str">
        <x:v>使用者提供之聯電簡明財報截圖</x:v>
      </x:c>
    </x:row>
    <x:row r="33" ht="26.399999618530273" hidden="0" customHeight="1">
      <x:c r="A33" s="24" t="str">
        <x:v>UMC_2024_other_income_expenses_net</x:v>
      </x:c>
      <x:c r="B33" s="24" t="str">
        <x:v>聯華電子股份有限公司</x:v>
      </x:c>
      <x:c r="C33" s="24" t="str">
        <x:v>2303</x:v>
      </x:c>
      <x:c r="D33" s="24" t="n">
        <x:v>2024</x:v>
      </x:c>
      <x:c r="E33" s="24" t="n">
        <x:v>113</x:v>
      </x:c>
      <x:c r="F33" s="24" t="str">
        <x:v>簡明綜合損益表</x:v>
      </x:c>
      <x:c r="G33" s="24" t="str">
        <x:v>other_income_expenses_net</x:v>
      </x:c>
      <x:c r="H33" s="24" t="str">
        <x:v>其他收益及費損淨額</x:v>
      </x:c>
      <x:c r="I33" s="26" t="n">
        <x:v>1323909</x:v>
      </x:c>
      <x:c r="J33" s="24" t="str">
        <x:v>reported</x:v>
      </x:c>
      <x:c r="K33" s="24" t="str">
        <x:v>新臺幣仟元</x:v>
      </x:c>
      <x:c r="L33" s="24" t="str">
        <x:v>duration</x:v>
      </x:c>
      <x:c r="M33" s="24" t="str">
        <x:v>2024-01-01</x:v>
      </x:c>
      <x:c r="N33" s="24" t="str">
        <x:v>2024-12-31</x:v>
      </x:c>
      <x:c r="O33" s="24" t="str">
        <x:v>使用者提供之聯電簡明財報截圖</x:v>
      </x:c>
    </x:row>
    <x:row r="34" ht="26.399999618530273" hidden="0" customHeight="1">
      <x:c r="A34" s="24" t="str">
        <x:v>UMC_2025_other_income_expenses_net</x:v>
      </x:c>
      <x:c r="B34" s="24" t="str">
        <x:v>聯華電子股份有限公司</x:v>
      </x:c>
      <x:c r="C34" s="24" t="str">
        <x:v>2303</x:v>
      </x:c>
      <x:c r="D34" s="24" t="n">
        <x:v>2025</x:v>
      </x:c>
      <x:c r="E34" s="24" t="n">
        <x:v>114</x:v>
      </x:c>
      <x:c r="F34" s="24" t="str">
        <x:v>簡明綜合損益表</x:v>
      </x:c>
      <x:c r="G34" s="24" t="str">
        <x:v>other_income_expenses_net</x:v>
      </x:c>
      <x:c r="H34" s="24" t="str">
        <x:v>其他收益及費損淨額</x:v>
      </x:c>
      <x:c r="I34" s="26" t="n">
        <x:v>1989879</x:v>
      </x:c>
      <x:c r="J34" s="24" t="str">
        <x:v>reported</x:v>
      </x:c>
      <x:c r="K34" s="24" t="str">
        <x:v>新臺幣仟元</x:v>
      </x:c>
      <x:c r="L34" s="24" t="str">
        <x:v>duration</x:v>
      </x:c>
      <x:c r="M34" s="24" t="str">
        <x:v>2025-01-01</x:v>
      </x:c>
      <x:c r="N34" s="24" t="str">
        <x:v>2025-12-31</x:v>
      </x:c>
      <x:c r="O34" s="24" t="str">
        <x:v>使用者提供之聯電簡明財報截圖</x:v>
      </x:c>
    </x:row>
    <x:row r="35" ht="15" hidden="0" customHeight="1">
      <x:c r="A35" s="24" t="str">
        <x:v>UMC_2023_operating_income</x:v>
      </x:c>
      <x:c r="B35" s="24" t="str">
        <x:v>聯華電子股份有限公司</x:v>
      </x:c>
      <x:c r="C35" s="24" t="str">
        <x:v>2303</x:v>
      </x:c>
      <x:c r="D35" s="24" t="n">
        <x:v>2023</x:v>
      </x:c>
      <x:c r="E35" s="24" t="n">
        <x:v>112</x:v>
      </x:c>
      <x:c r="F35" s="24" t="str">
        <x:v>簡明綜合損益表</x:v>
      </x:c>
      <x:c r="G35" s="24" t="str">
        <x:v>operating_income</x:v>
      </x:c>
      <x:c r="H35" s="24" t="str">
        <x:v>營業利益（損失）</x:v>
      </x:c>
      <x:c r="I35" s="26" t="n">
        <x:v>57890661</x:v>
      </x:c>
      <x:c r="J35" s="24" t="str">
        <x:v>reported</x:v>
      </x:c>
      <x:c r="K35" s="24" t="str">
        <x:v>新臺幣仟元</x:v>
      </x:c>
      <x:c r="L35" s="24" t="str">
        <x:v>duration</x:v>
      </x:c>
      <x:c r="M35" s="24" t="str">
        <x:v>2023-01-01</x:v>
      </x:c>
      <x:c r="N35" s="24" t="str">
        <x:v>2023-12-31</x:v>
      </x:c>
      <x:c r="O35" s="24" t="str">
        <x:v>使用者提供之聯電簡明財報截圖</x:v>
      </x:c>
    </x:row>
    <x:row r="36" ht="15" hidden="0" customHeight="1">
      <x:c r="A36" s="24" t="str">
        <x:v>UMC_2024_operating_income</x:v>
      </x:c>
      <x:c r="B36" s="24" t="str">
        <x:v>聯華電子股份有限公司</x:v>
      </x:c>
      <x:c r="C36" s="24" t="str">
        <x:v>2303</x:v>
      </x:c>
      <x:c r="D36" s="24" t="n">
        <x:v>2024</x:v>
      </x:c>
      <x:c r="E36" s="24" t="n">
        <x:v>113</x:v>
      </x:c>
      <x:c r="F36" s="24" t="str">
        <x:v>簡明綜合損益表</x:v>
      </x:c>
      <x:c r="G36" s="24" t="str">
        <x:v>operating_income</x:v>
      </x:c>
      <x:c r="H36" s="24" t="str">
        <x:v>營業利益（損失）</x:v>
      </x:c>
      <x:c r="I36" s="26" t="n">
        <x:v>51612570</x:v>
      </x:c>
      <x:c r="J36" s="24" t="str">
        <x:v>reported</x:v>
      </x:c>
      <x:c r="K36" s="24" t="str">
        <x:v>新臺幣仟元</x:v>
      </x:c>
      <x:c r="L36" s="24" t="str">
        <x:v>duration</x:v>
      </x:c>
      <x:c r="M36" s="24" t="str">
        <x:v>2024-01-01</x:v>
      </x:c>
      <x:c r="N36" s="24" t="str">
        <x:v>2024-12-31</x:v>
      </x:c>
      <x:c r="O36" s="24" t="str">
        <x:v>使用者提供之聯電簡明財報截圖</x:v>
      </x:c>
    </x:row>
    <x:row r="37" ht="15" hidden="0" customHeight="1">
      <x:c r="A37" s="24" t="str">
        <x:v>UMC_2025_operating_income</x:v>
      </x:c>
      <x:c r="B37" s="24" t="str">
        <x:v>聯華電子股份有限公司</x:v>
      </x:c>
      <x:c r="C37" s="24" t="str">
        <x:v>2303</x:v>
      </x:c>
      <x:c r="D37" s="24" t="n">
        <x:v>2025</x:v>
      </x:c>
      <x:c r="E37" s="24" t="n">
        <x:v>114</x:v>
      </x:c>
      <x:c r="F37" s="24" t="str">
        <x:v>簡明綜合損益表</x:v>
      </x:c>
      <x:c r="G37" s="24" t="str">
        <x:v>operating_income</x:v>
      </x:c>
      <x:c r="H37" s="24" t="str">
        <x:v>營業利益（損失）</x:v>
      </x:c>
      <x:c r="I37" s="26" t="n">
        <x:v>43948688</x:v>
      </x:c>
      <x:c r="J37" s="24" t="str">
        <x:v>reported</x:v>
      </x:c>
      <x:c r="K37" s="24" t="str">
        <x:v>新臺幣仟元</x:v>
      </x:c>
      <x:c r="L37" s="24" t="str">
        <x:v>duration</x:v>
      </x:c>
      <x:c r="M37" s="24" t="str">
        <x:v>2025-01-01</x:v>
      </x:c>
      <x:c r="N37" s="24" t="str">
        <x:v>2025-12-31</x:v>
      </x:c>
      <x:c r="O37" s="24" t="str">
        <x:v>使用者提供之聯電簡明財報截圖</x:v>
      </x:c>
    </x:row>
    <x:row r="38" ht="26.399999618530273" hidden="0" customHeight="1">
      <x:c r="A38" s="24" t="str">
        <x:v>UMC_2023_non_operating_income_expenses</x:v>
      </x:c>
      <x:c r="B38" s="24" t="str">
        <x:v>聯華電子股份有限公司</x:v>
      </x:c>
      <x:c r="C38" s="24" t="str">
        <x:v>2303</x:v>
      </x:c>
      <x:c r="D38" s="24" t="n">
        <x:v>2023</x:v>
      </x:c>
      <x:c r="E38" s="24" t="n">
        <x:v>112</x:v>
      </x:c>
      <x:c r="F38" s="24" t="str">
        <x:v>簡明綜合損益表</x:v>
      </x:c>
      <x:c r="G38" s="24" t="str">
        <x:v>non_operating_income_expenses</x:v>
      </x:c>
      <x:c r="H38" s="24" t="str">
        <x:v>營業外收入及支出</x:v>
      </x:c>
      <x:c r="I38" s="26" t="n">
        <x:v>13021567</x:v>
      </x:c>
      <x:c r="J38" s="24" t="str">
        <x:v>reported</x:v>
      </x:c>
      <x:c r="K38" s="24" t="str">
        <x:v>新臺幣仟元</x:v>
      </x:c>
      <x:c r="L38" s="24" t="str">
        <x:v>duration</x:v>
      </x:c>
      <x:c r="M38" s="24" t="str">
        <x:v>2023-01-01</x:v>
      </x:c>
      <x:c r="N38" s="24" t="str">
        <x:v>2023-12-31</x:v>
      </x:c>
      <x:c r="O38" s="24" t="str">
        <x:v>使用者提供之聯電簡明財報截圖</x:v>
      </x:c>
    </x:row>
    <x:row r="39" ht="26.399999618530273" hidden="0" customHeight="1">
      <x:c r="A39" s="24" t="str">
        <x:v>UMC_2024_non_operating_income_expenses</x:v>
      </x:c>
      <x:c r="B39" s="24" t="str">
        <x:v>聯華電子股份有限公司</x:v>
      </x:c>
      <x:c r="C39" s="24" t="str">
        <x:v>2303</x:v>
      </x:c>
      <x:c r="D39" s="24" t="n">
        <x:v>2024</x:v>
      </x:c>
      <x:c r="E39" s="24" t="n">
        <x:v>113</x:v>
      </x:c>
      <x:c r="F39" s="24" t="str">
        <x:v>簡明綜合損益表</x:v>
      </x:c>
      <x:c r="G39" s="24" t="str">
        <x:v>non_operating_income_expenses</x:v>
      </x:c>
      <x:c r="H39" s="24" t="str">
        <x:v>營業外收入及支出</x:v>
      </x:c>
      <x:c r="I39" s="26" t="n">
        <x:v>4607143</x:v>
      </x:c>
      <x:c r="J39" s="24" t="str">
        <x:v>reported</x:v>
      </x:c>
      <x:c r="K39" s="24" t="str">
        <x:v>新臺幣仟元</x:v>
      </x:c>
      <x:c r="L39" s="24" t="str">
        <x:v>duration</x:v>
      </x:c>
      <x:c r="M39" s="24" t="str">
        <x:v>2024-01-01</x:v>
      </x:c>
      <x:c r="N39" s="24" t="str">
        <x:v>2024-12-31</x:v>
      </x:c>
      <x:c r="O39" s="24" t="str">
        <x:v>使用者提供之聯電簡明財報截圖</x:v>
      </x:c>
    </x:row>
    <x:row r="40" ht="26.399999618530273" hidden="0" customHeight="1">
      <x:c r="A40" s="24" t="str">
        <x:v>UMC_2025_non_operating_income_expenses</x:v>
      </x:c>
      <x:c r="B40" s="24" t="str">
        <x:v>聯華電子股份有限公司</x:v>
      </x:c>
      <x:c r="C40" s="24" t="str">
        <x:v>2303</x:v>
      </x:c>
      <x:c r="D40" s="24" t="n">
        <x:v>2025</x:v>
      </x:c>
      <x:c r="E40" s="24" t="n">
        <x:v>114</x:v>
      </x:c>
      <x:c r="F40" s="24" t="str">
        <x:v>簡明綜合損益表</x:v>
      </x:c>
      <x:c r="G40" s="24" t="str">
        <x:v>non_operating_income_expenses</x:v>
      </x:c>
      <x:c r="H40" s="24" t="str">
        <x:v>營業外收入及支出</x:v>
      </x:c>
      <x:c r="I40" s="26" t="n">
        <x:v>5699018</x:v>
      </x:c>
      <x:c r="J40" s="24" t="str">
        <x:v>reported</x:v>
      </x:c>
      <x:c r="K40" s="24" t="str">
        <x:v>新臺幣仟元</x:v>
      </x:c>
      <x:c r="L40" s="24" t="str">
        <x:v>duration</x:v>
      </x:c>
      <x:c r="M40" s="24" t="str">
        <x:v>2025-01-01</x:v>
      </x:c>
      <x:c r="N40" s="24" t="str">
        <x:v>2025-12-31</x:v>
      </x:c>
      <x:c r="O40" s="24" t="str">
        <x:v>使用者提供之聯電簡明財報截圖</x:v>
      </x:c>
    </x:row>
    <x:row r="41" ht="15" hidden="0" customHeight="1">
      <x:c r="A41" s="24" t="str">
        <x:v>UMC_2023_profit_before_tax</x:v>
      </x:c>
      <x:c r="B41" s="24" t="str">
        <x:v>聯華電子股份有限公司</x:v>
      </x:c>
      <x:c r="C41" s="24" t="str">
        <x:v>2303</x:v>
      </x:c>
      <x:c r="D41" s="24" t="n">
        <x:v>2023</x:v>
      </x:c>
      <x:c r="E41" s="24" t="n">
        <x:v>112</x:v>
      </x:c>
      <x:c r="F41" s="24" t="str">
        <x:v>簡明綜合損益表</x:v>
      </x:c>
      <x:c r="G41" s="24" t="str">
        <x:v>profit_before_tax</x:v>
      </x:c>
      <x:c r="H41" s="24" t="str">
        <x:v>稅前淨利（淨損）</x:v>
      </x:c>
      <x:c r="I41" s="26" t="n">
        <x:v>70912228</x:v>
      </x:c>
      <x:c r="J41" s="24" t="str">
        <x:v>reported</x:v>
      </x:c>
      <x:c r="K41" s="24" t="str">
        <x:v>新臺幣仟元</x:v>
      </x:c>
      <x:c r="L41" s="24" t="str">
        <x:v>duration</x:v>
      </x:c>
      <x:c r="M41" s="24" t="str">
        <x:v>2023-01-01</x:v>
      </x:c>
      <x:c r="N41" s="24" t="str">
        <x:v>2023-12-31</x:v>
      </x:c>
      <x:c r="O41" s="24" t="str">
        <x:v>使用者提供之聯電簡明財報截圖</x:v>
      </x:c>
    </x:row>
    <x:row r="42" ht="15" hidden="0" customHeight="1">
      <x:c r="A42" s="24" t="str">
        <x:v>UMC_2024_profit_before_tax</x:v>
      </x:c>
      <x:c r="B42" s="24" t="str">
        <x:v>聯華電子股份有限公司</x:v>
      </x:c>
      <x:c r="C42" s="24" t="str">
        <x:v>2303</x:v>
      </x:c>
      <x:c r="D42" s="24" t="n">
        <x:v>2024</x:v>
      </x:c>
      <x:c r="E42" s="24" t="n">
        <x:v>113</x:v>
      </x:c>
      <x:c r="F42" s="24" t="str">
        <x:v>簡明綜合損益表</x:v>
      </x:c>
      <x:c r="G42" s="24" t="str">
        <x:v>profit_before_tax</x:v>
      </x:c>
      <x:c r="H42" s="24" t="str">
        <x:v>稅前淨利（淨損）</x:v>
      </x:c>
      <x:c r="I42" s="26" t="n">
        <x:v>56219713</x:v>
      </x:c>
      <x:c r="J42" s="24" t="str">
        <x:v>reported</x:v>
      </x:c>
      <x:c r="K42" s="24" t="str">
        <x:v>新臺幣仟元</x:v>
      </x:c>
      <x:c r="L42" s="24" t="str">
        <x:v>duration</x:v>
      </x:c>
      <x:c r="M42" s="24" t="str">
        <x:v>2024-01-01</x:v>
      </x:c>
      <x:c r="N42" s="24" t="str">
        <x:v>2024-12-31</x:v>
      </x:c>
      <x:c r="O42" s="24" t="str">
        <x:v>使用者提供之聯電簡明財報截圖</x:v>
      </x:c>
    </x:row>
    <x:row r="43" ht="15" hidden="0" customHeight="1">
      <x:c r="A43" s="24" t="str">
        <x:v>UMC_2025_profit_before_tax</x:v>
      </x:c>
      <x:c r="B43" s="24" t="str">
        <x:v>聯華電子股份有限公司</x:v>
      </x:c>
      <x:c r="C43" s="24" t="str">
        <x:v>2303</x:v>
      </x:c>
      <x:c r="D43" s="24" t="n">
        <x:v>2025</x:v>
      </x:c>
      <x:c r="E43" s="24" t="n">
        <x:v>114</x:v>
      </x:c>
      <x:c r="F43" s="24" t="str">
        <x:v>簡明綜合損益表</x:v>
      </x:c>
      <x:c r="G43" s="24" t="str">
        <x:v>profit_before_tax</x:v>
      </x:c>
      <x:c r="H43" s="24" t="str">
        <x:v>稅前淨利（淨損）</x:v>
      </x:c>
      <x:c r="I43" s="26" t="n">
        <x:v>49647706</x:v>
      </x:c>
      <x:c r="J43" s="24" t="str">
        <x:v>reported</x:v>
      </x:c>
      <x:c r="K43" s="24" t="str">
        <x:v>新臺幣仟元</x:v>
      </x:c>
      <x:c r="L43" s="24" t="str">
        <x:v>duration</x:v>
      </x:c>
      <x:c r="M43" s="24" t="str">
        <x:v>2025-01-01</x:v>
      </x:c>
      <x:c r="N43" s="24" t="str">
        <x:v>2025-12-31</x:v>
      </x:c>
      <x:c r="O43" s="24" t="str">
        <x:v>使用者提供之聯電簡明財報截圖</x:v>
      </x:c>
    </x:row>
    <x:row r="44" ht="15" hidden="0" customHeight="1">
      <x:c r="A44" s="24" t="str">
        <x:v>UMC_2023_income_tax_expense</x:v>
      </x:c>
      <x:c r="B44" s="24" t="str">
        <x:v>聯華電子股份有限公司</x:v>
      </x:c>
      <x:c r="C44" s="24" t="str">
        <x:v>2303</x:v>
      </x:c>
      <x:c r="D44" s="24" t="n">
        <x:v>2023</x:v>
      </x:c>
      <x:c r="E44" s="24" t="n">
        <x:v>112</x:v>
      </x:c>
      <x:c r="F44" s="24" t="str">
        <x:v>簡明綜合損益表</x:v>
      </x:c>
      <x:c r="G44" s="24" t="str">
        <x:v>income_tax_expense</x:v>
      </x:c>
      <x:c r="H44" s="24" t="str">
        <x:v>所得稅費用（利益）</x:v>
      </x:c>
      <x:c r="I44" s="26" t="n">
        <x:v>9472411</x:v>
      </x:c>
      <x:c r="J44" s="24" t="str">
        <x:v>reported</x:v>
      </x:c>
      <x:c r="K44" s="24" t="str">
        <x:v>新臺幣仟元</x:v>
      </x:c>
      <x:c r="L44" s="24" t="str">
        <x:v>duration</x:v>
      </x:c>
      <x:c r="M44" s="24" t="str">
        <x:v>2023-01-01</x:v>
      </x:c>
      <x:c r="N44" s="24" t="str">
        <x:v>2023-12-31</x:v>
      </x:c>
      <x:c r="O44" s="24" t="str">
        <x:v>使用者提供之聯電簡明財報截圖</x:v>
      </x:c>
    </x:row>
    <x:row r="45" ht="15" hidden="0" customHeight="1">
      <x:c r="A45" s="24" t="str">
        <x:v>UMC_2024_income_tax_expense</x:v>
      </x:c>
      <x:c r="B45" s="24" t="str">
        <x:v>聯華電子股份有限公司</x:v>
      </x:c>
      <x:c r="C45" s="24" t="str">
        <x:v>2303</x:v>
      </x:c>
      <x:c r="D45" s="24" t="n">
        <x:v>2024</x:v>
      </x:c>
      <x:c r="E45" s="24" t="n">
        <x:v>113</x:v>
      </x:c>
      <x:c r="F45" s="24" t="str">
        <x:v>簡明綜合損益表</x:v>
      </x:c>
      <x:c r="G45" s="24" t="str">
        <x:v>income_tax_expense</x:v>
      </x:c>
      <x:c r="H45" s="24" t="str">
        <x:v>所得稅費用（利益）</x:v>
      </x:c>
      <x:c r="I45" s="26" t="n">
        <x:v>9113457</x:v>
      </x:c>
      <x:c r="J45" s="24" t="str">
        <x:v>reported</x:v>
      </x:c>
      <x:c r="K45" s="24" t="str">
        <x:v>新臺幣仟元</x:v>
      </x:c>
      <x:c r="L45" s="24" t="str">
        <x:v>duration</x:v>
      </x:c>
      <x:c r="M45" s="24" t="str">
        <x:v>2024-01-01</x:v>
      </x:c>
      <x:c r="N45" s="24" t="str">
        <x:v>2024-12-31</x:v>
      </x:c>
      <x:c r="O45" s="24" t="str">
        <x:v>使用者提供之聯電簡明財報截圖</x:v>
      </x:c>
    </x:row>
    <x:row r="46" ht="15" hidden="0" customHeight="1">
      <x:c r="A46" s="24" t="str">
        <x:v>UMC_2025_income_tax_expense</x:v>
      </x:c>
      <x:c r="B46" s="24" t="str">
        <x:v>聯華電子股份有限公司</x:v>
      </x:c>
      <x:c r="C46" s="24" t="str">
        <x:v>2303</x:v>
      </x:c>
      <x:c r="D46" s="24" t="n">
        <x:v>2025</x:v>
      </x:c>
      <x:c r="E46" s="24" t="n">
        <x:v>114</x:v>
      </x:c>
      <x:c r="F46" s="24" t="str">
        <x:v>簡明綜合損益表</x:v>
      </x:c>
      <x:c r="G46" s="24" t="str">
        <x:v>income_tax_expense</x:v>
      </x:c>
      <x:c r="H46" s="24" t="str">
        <x:v>所得稅費用（利益）</x:v>
      </x:c>
      <x:c r="I46" s="26" t="n">
        <x:v>8112958</x:v>
      </x:c>
      <x:c r="J46" s="24" t="str">
        <x:v>reported</x:v>
      </x:c>
      <x:c r="K46" s="24" t="str">
        <x:v>新臺幣仟元</x:v>
      </x:c>
      <x:c r="L46" s="24" t="str">
        <x:v>duration</x:v>
      </x:c>
      <x:c r="M46" s="24" t="str">
        <x:v>2025-01-01</x:v>
      </x:c>
      <x:c r="N46" s="24" t="str">
        <x:v>2025-12-31</x:v>
      </x:c>
      <x:c r="O46" s="24" t="str">
        <x:v>使用者提供之聯電簡明財報截圖</x:v>
      </x:c>
    </x:row>
    <x:row r="47" ht="26.399999618530273" hidden="0" customHeight="1">
      <x:c r="A47" s="24" t="str">
        <x:v>UMC_2023_continuing_operations_profit</x:v>
      </x:c>
      <x:c r="B47" s="24" t="str">
        <x:v>聯華電子股份有限公司</x:v>
      </x:c>
      <x:c r="C47" s="24" t="str">
        <x:v>2303</x:v>
      </x:c>
      <x:c r="D47" s="24" t="n">
        <x:v>2023</x:v>
      </x:c>
      <x:c r="E47" s="24" t="n">
        <x:v>112</x:v>
      </x:c>
      <x:c r="F47" s="24" t="str">
        <x:v>簡明綜合損益表</x:v>
      </x:c>
      <x:c r="G47" s="24" t="str">
        <x:v>continuing_operations_profit</x:v>
      </x:c>
      <x:c r="H47" s="24" t="str">
        <x:v>繼續營業單位本期淨利（淨損）</x:v>
      </x:c>
      <x:c r="I47" s="26" t="n">
        <x:v>61439817</x:v>
      </x:c>
      <x:c r="J47" s="24" t="str">
        <x:v>reported</x:v>
      </x:c>
      <x:c r="K47" s="24" t="str">
        <x:v>新臺幣仟元</x:v>
      </x:c>
      <x:c r="L47" s="24" t="str">
        <x:v>duration</x:v>
      </x:c>
      <x:c r="M47" s="24" t="str">
        <x:v>2023-01-01</x:v>
      </x:c>
      <x:c r="N47" s="24" t="str">
        <x:v>2023-12-31</x:v>
      </x:c>
      <x:c r="O47" s="24" t="str">
        <x:v>使用者提供之聯電簡明財報截圖</x:v>
      </x:c>
    </x:row>
    <x:row r="48" ht="26.399999618530273" hidden="0" customHeight="1">
      <x:c r="A48" s="24" t="str">
        <x:v>UMC_2024_continuing_operations_profit</x:v>
      </x:c>
      <x:c r="B48" s="24" t="str">
        <x:v>聯華電子股份有限公司</x:v>
      </x:c>
      <x:c r="C48" s="24" t="str">
        <x:v>2303</x:v>
      </x:c>
      <x:c r="D48" s="24" t="n">
        <x:v>2024</x:v>
      </x:c>
      <x:c r="E48" s="24" t="n">
        <x:v>113</x:v>
      </x:c>
      <x:c r="F48" s="24" t="str">
        <x:v>簡明綜合損益表</x:v>
      </x:c>
      <x:c r="G48" s="24" t="str">
        <x:v>continuing_operations_profit</x:v>
      </x:c>
      <x:c r="H48" s="24" t="str">
        <x:v>繼續營業單位本期淨利（淨損）</x:v>
      </x:c>
      <x:c r="I48" s="26" t="n">
        <x:v>47106256</x:v>
      </x:c>
      <x:c r="J48" s="24" t="str">
        <x:v>reported</x:v>
      </x:c>
      <x:c r="K48" s="24" t="str">
        <x:v>新臺幣仟元</x:v>
      </x:c>
      <x:c r="L48" s="24" t="str">
        <x:v>duration</x:v>
      </x:c>
      <x:c r="M48" s="24" t="str">
        <x:v>2024-01-01</x:v>
      </x:c>
      <x:c r="N48" s="24" t="str">
        <x:v>2024-12-31</x:v>
      </x:c>
      <x:c r="O48" s="24" t="str">
        <x:v>使用者提供之聯電簡明財報截圖</x:v>
      </x:c>
    </x:row>
    <x:row r="49" ht="26.399999618530273" hidden="0" customHeight="1">
      <x:c r="A49" s="24" t="str">
        <x:v>UMC_2025_continuing_operations_profit</x:v>
      </x:c>
      <x:c r="B49" s="24" t="str">
        <x:v>聯華電子股份有限公司</x:v>
      </x:c>
      <x:c r="C49" s="24" t="str">
        <x:v>2303</x:v>
      </x:c>
      <x:c r="D49" s="24" t="n">
        <x:v>2025</x:v>
      </x:c>
      <x:c r="E49" s="24" t="n">
        <x:v>114</x:v>
      </x:c>
      <x:c r="F49" s="24" t="str">
        <x:v>簡明綜合損益表</x:v>
      </x:c>
      <x:c r="G49" s="24" t="str">
        <x:v>continuing_operations_profit</x:v>
      </x:c>
      <x:c r="H49" s="24" t="str">
        <x:v>繼續營業單位本期淨利（淨損）</x:v>
      </x:c>
      <x:c r="I49" s="26" t="n">
        <x:v>41534748</x:v>
      </x:c>
      <x:c r="J49" s="24" t="str">
        <x:v>reported</x:v>
      </x:c>
      <x:c r="K49" s="24" t="str">
        <x:v>新臺幣仟元</x:v>
      </x:c>
      <x:c r="L49" s="24" t="str">
        <x:v>duration</x:v>
      </x:c>
      <x:c r="M49" s="24" t="str">
        <x:v>2025-01-01</x:v>
      </x:c>
      <x:c r="N49" s="24" t="str">
        <x:v>2025-12-31</x:v>
      </x:c>
      <x:c r="O49" s="24" t="str">
        <x:v>使用者提供之聯電簡明財報截圖</x:v>
      </x:c>
    </x:row>
    <x:row r="50" ht="26.399999618530273" hidden="0" customHeight="1">
      <x:c r="A50" s="24" t="str">
        <x:v>UMC_2023_discontinued_operations_profit</x:v>
      </x:c>
      <x:c r="B50" s="24" t="str">
        <x:v>聯華電子股份有限公司</x:v>
      </x:c>
      <x:c r="C50" s="24" t="str">
        <x:v>2303</x:v>
      </x:c>
      <x:c r="D50" s="24" t="n">
        <x:v>2023</x:v>
      </x:c>
      <x:c r="E50" s="24" t="n">
        <x:v>112</x:v>
      </x:c>
      <x:c r="F50" s="24" t="str">
        <x:v>簡明綜合損益表</x:v>
      </x:c>
      <x:c r="G50" s="24" t="str">
        <x:v>discontinued_operations_profit</x:v>
      </x:c>
      <x:c r="H50" s="24" t="str">
        <x:v>停業單位損益</x:v>
      </x:c>
      <x:c r="I50" s="26"/>
      <x:c r="J50" s="24" t="str">
        <x:v>not_reported</x:v>
      </x:c>
      <x:c r="K50" s="24" t="str">
        <x:v>新臺幣仟元</x:v>
      </x:c>
      <x:c r="L50" s="24" t="str">
        <x:v>duration</x:v>
      </x:c>
      <x:c r="M50" s="24" t="str">
        <x:v>2023-01-01</x:v>
      </x:c>
      <x:c r="N50" s="24" t="str">
        <x:v>2023-12-31</x:v>
      </x:c>
      <x:c r="O50" s="24" t="str">
        <x:v>使用者提供之聯電簡明財報截圖</x:v>
      </x:c>
    </x:row>
    <x:row r="51" ht="26.399999618530273" hidden="0" customHeight="1">
      <x:c r="A51" s="24" t="str">
        <x:v>UMC_2024_discontinued_operations_profit</x:v>
      </x:c>
      <x:c r="B51" s="24" t="str">
        <x:v>聯華電子股份有限公司</x:v>
      </x:c>
      <x:c r="C51" s="24" t="str">
        <x:v>2303</x:v>
      </x:c>
      <x:c r="D51" s="24" t="n">
        <x:v>2024</x:v>
      </x:c>
      <x:c r="E51" s="24" t="n">
        <x:v>113</x:v>
      </x:c>
      <x:c r="F51" s="24" t="str">
        <x:v>簡明綜合損益表</x:v>
      </x:c>
      <x:c r="G51" s="24" t="str">
        <x:v>discontinued_operations_profit</x:v>
      </x:c>
      <x:c r="H51" s="24" t="str">
        <x:v>停業單位損益</x:v>
      </x:c>
      <x:c r="I51" s="26"/>
      <x:c r="J51" s="24" t="str">
        <x:v>not_reported</x:v>
      </x:c>
      <x:c r="K51" s="24" t="str">
        <x:v>新臺幣仟元</x:v>
      </x:c>
      <x:c r="L51" s="24" t="str">
        <x:v>duration</x:v>
      </x:c>
      <x:c r="M51" s="24" t="str">
        <x:v>2024-01-01</x:v>
      </x:c>
      <x:c r="N51" s="24" t="str">
        <x:v>2024-12-31</x:v>
      </x:c>
      <x:c r="O51" s="24" t="str">
        <x:v>使用者提供之聯電簡明財報截圖</x:v>
      </x:c>
    </x:row>
    <x:row r="52" ht="26.399999618530273" hidden="0" customHeight="1">
      <x:c r="A52" s="24" t="str">
        <x:v>UMC_2025_discontinued_operations_profit</x:v>
      </x:c>
      <x:c r="B52" s="24" t="str">
        <x:v>聯華電子股份有限公司</x:v>
      </x:c>
      <x:c r="C52" s="24" t="str">
        <x:v>2303</x:v>
      </x:c>
      <x:c r="D52" s="24" t="n">
        <x:v>2025</x:v>
      </x:c>
      <x:c r="E52" s="24" t="n">
        <x:v>114</x:v>
      </x:c>
      <x:c r="F52" s="24" t="str">
        <x:v>簡明綜合損益表</x:v>
      </x:c>
      <x:c r="G52" s="24" t="str">
        <x:v>discontinued_operations_profit</x:v>
      </x:c>
      <x:c r="H52" s="24" t="str">
        <x:v>停業單位損益</x:v>
      </x:c>
      <x:c r="I52" s="26"/>
      <x:c r="J52" s="24" t="str">
        <x:v>not_reported</x:v>
      </x:c>
      <x:c r="K52" s="24" t="str">
        <x:v>新臺幣仟元</x:v>
      </x:c>
      <x:c r="L52" s="24" t="str">
        <x:v>duration</x:v>
      </x:c>
      <x:c r="M52" s="24" t="str">
        <x:v>2025-01-01</x:v>
      </x:c>
      <x:c r="N52" s="24" t="str">
        <x:v>2025-12-31</x:v>
      </x:c>
      <x:c r="O52" s="24" t="str">
        <x:v>使用者提供之聯電簡明財報截圖</x:v>
      </x:c>
    </x:row>
    <x:row r="53" ht="15" hidden="0" customHeight="1">
      <x:c r="A53" s="24" t="str">
        <x:v>UMC_2023_net_profit</x:v>
      </x:c>
      <x:c r="B53" s="24" t="str">
        <x:v>聯華電子股份有限公司</x:v>
      </x:c>
      <x:c r="C53" s="24" t="str">
        <x:v>2303</x:v>
      </x:c>
      <x:c r="D53" s="24" t="n">
        <x:v>2023</x:v>
      </x:c>
      <x:c r="E53" s="24" t="n">
        <x:v>112</x:v>
      </x:c>
      <x:c r="F53" s="24" t="str">
        <x:v>簡明綜合損益表</x:v>
      </x:c>
      <x:c r="G53" s="24" t="str">
        <x:v>net_profit</x:v>
      </x:c>
      <x:c r="H53" s="24" t="str">
        <x:v>本期淨利（淨損）</x:v>
      </x:c>
      <x:c r="I53" s="26" t="n">
        <x:v>61439817</x:v>
      </x:c>
      <x:c r="J53" s="24" t="str">
        <x:v>reported</x:v>
      </x:c>
      <x:c r="K53" s="24" t="str">
        <x:v>新臺幣仟元</x:v>
      </x:c>
      <x:c r="L53" s="24" t="str">
        <x:v>duration</x:v>
      </x:c>
      <x:c r="M53" s="24" t="str">
        <x:v>2023-01-01</x:v>
      </x:c>
      <x:c r="N53" s="24" t="str">
        <x:v>2023-12-31</x:v>
      </x:c>
      <x:c r="O53" s="24" t="str">
        <x:v>使用者提供之聯電簡明財報截圖</x:v>
      </x:c>
    </x:row>
    <x:row r="54" ht="15" hidden="0" customHeight="1">
      <x:c r="A54" s="24" t="str">
        <x:v>UMC_2024_net_profit</x:v>
      </x:c>
      <x:c r="B54" s="24" t="str">
        <x:v>聯華電子股份有限公司</x:v>
      </x:c>
      <x:c r="C54" s="24" t="str">
        <x:v>2303</x:v>
      </x:c>
      <x:c r="D54" s="24" t="n">
        <x:v>2024</x:v>
      </x:c>
      <x:c r="E54" s="24" t="n">
        <x:v>113</x:v>
      </x:c>
      <x:c r="F54" s="24" t="str">
        <x:v>簡明綜合損益表</x:v>
      </x:c>
      <x:c r="G54" s="24" t="str">
        <x:v>net_profit</x:v>
      </x:c>
      <x:c r="H54" s="24" t="str">
        <x:v>本期淨利（淨損）</x:v>
      </x:c>
      <x:c r="I54" s="26" t="n">
        <x:v>47106256</x:v>
      </x:c>
      <x:c r="J54" s="24" t="str">
        <x:v>reported</x:v>
      </x:c>
      <x:c r="K54" s="24" t="str">
        <x:v>新臺幣仟元</x:v>
      </x:c>
      <x:c r="L54" s="24" t="str">
        <x:v>duration</x:v>
      </x:c>
      <x:c r="M54" s="24" t="str">
        <x:v>2024-01-01</x:v>
      </x:c>
      <x:c r="N54" s="24" t="str">
        <x:v>2024-12-31</x:v>
      </x:c>
      <x:c r="O54" s="24" t="str">
        <x:v>使用者提供之聯電簡明財報截圖</x:v>
      </x:c>
    </x:row>
    <x:row r="55" ht="15" hidden="0" customHeight="1">
      <x:c r="A55" s="24" t="str">
        <x:v>UMC_2025_net_profit</x:v>
      </x:c>
      <x:c r="B55" s="24" t="str">
        <x:v>聯華電子股份有限公司</x:v>
      </x:c>
      <x:c r="C55" s="24" t="str">
        <x:v>2303</x:v>
      </x:c>
      <x:c r="D55" s="24" t="n">
        <x:v>2025</x:v>
      </x:c>
      <x:c r="E55" s="24" t="n">
        <x:v>114</x:v>
      </x:c>
      <x:c r="F55" s="24" t="str">
        <x:v>簡明綜合損益表</x:v>
      </x:c>
      <x:c r="G55" s="24" t="str">
        <x:v>net_profit</x:v>
      </x:c>
      <x:c r="H55" s="24" t="str">
        <x:v>本期淨利（淨損）</x:v>
      </x:c>
      <x:c r="I55" s="26" t="n">
        <x:v>41534748</x:v>
      </x:c>
      <x:c r="J55" s="24" t="str">
        <x:v>reported</x:v>
      </x:c>
      <x:c r="K55" s="24" t="str">
        <x:v>新臺幣仟元</x:v>
      </x:c>
      <x:c r="L55" s="24" t="str">
        <x:v>duration</x:v>
      </x:c>
      <x:c r="M55" s="24" t="str">
        <x:v>2025-01-01</x:v>
      </x:c>
      <x:c r="N55" s="24" t="str">
        <x:v>2025-12-31</x:v>
      </x:c>
      <x:c r="O55" s="24" t="str">
        <x:v>使用者提供之聯電簡明財報截圖</x:v>
      </x:c>
    </x:row>
    <x:row r="56" ht="26.399999618530273" hidden="0" customHeight="1">
      <x:c r="A56" s="24" t="str">
        <x:v>UMC_2023_other_comprehensive_income</x:v>
      </x:c>
      <x:c r="B56" s="24" t="str">
        <x:v>聯華電子股份有限公司</x:v>
      </x:c>
      <x:c r="C56" s="24" t="str">
        <x:v>2303</x:v>
      </x:c>
      <x:c r="D56" s="24" t="n">
        <x:v>2023</x:v>
      </x:c>
      <x:c r="E56" s="24" t="n">
        <x:v>112</x:v>
      </x:c>
      <x:c r="F56" s="24" t="str">
        <x:v>簡明綜合損益表</x:v>
      </x:c>
      <x:c r="G56" s="24" t="str">
        <x:v>other_comprehensive_income</x:v>
      </x:c>
      <x:c r="H56" s="24" t="str">
        <x:v>其他綜合損益（淨額）</x:v>
      </x:c>
      <x:c r="I56" s="26" t="n">
        <x:v>6417926</x:v>
      </x:c>
      <x:c r="J56" s="24" t="str">
        <x:v>reported</x:v>
      </x:c>
      <x:c r="K56" s="24" t="str">
        <x:v>新臺幣仟元</x:v>
      </x:c>
      <x:c r="L56" s="24" t="str">
        <x:v>duration</x:v>
      </x:c>
      <x:c r="M56" s="24" t="str">
        <x:v>2023-01-01</x:v>
      </x:c>
      <x:c r="N56" s="24" t="str">
        <x:v>2023-12-31</x:v>
      </x:c>
      <x:c r="O56" s="24" t="str">
        <x:v>使用者提供之聯電簡明財報截圖</x:v>
      </x:c>
    </x:row>
    <x:row r="57" ht="26.399999618530273" hidden="0" customHeight="1">
      <x:c r="A57" s="24" t="str">
        <x:v>UMC_2024_other_comprehensive_income</x:v>
      </x:c>
      <x:c r="B57" s="24" t="str">
        <x:v>聯華電子股份有限公司</x:v>
      </x:c>
      <x:c r="C57" s="24" t="str">
        <x:v>2303</x:v>
      </x:c>
      <x:c r="D57" s="24" t="n">
        <x:v>2024</x:v>
      </x:c>
      <x:c r="E57" s="24" t="n">
        <x:v>113</x:v>
      </x:c>
      <x:c r="F57" s="24" t="str">
        <x:v>簡明綜合損益表</x:v>
      </x:c>
      <x:c r="G57" s="24" t="str">
        <x:v>other_comprehensive_income</x:v>
      </x:c>
      <x:c r="H57" s="24" t="str">
        <x:v>其他綜合損益（淨額）</x:v>
      </x:c>
      <x:c r="I57" s="26" t="n">
        <x:v>8300984</x:v>
      </x:c>
      <x:c r="J57" s="24" t="str">
        <x:v>reported</x:v>
      </x:c>
      <x:c r="K57" s="24" t="str">
        <x:v>新臺幣仟元</x:v>
      </x:c>
      <x:c r="L57" s="24" t="str">
        <x:v>duration</x:v>
      </x:c>
      <x:c r="M57" s="24" t="str">
        <x:v>2024-01-01</x:v>
      </x:c>
      <x:c r="N57" s="24" t="str">
        <x:v>2024-12-31</x:v>
      </x:c>
      <x:c r="O57" s="24" t="str">
        <x:v>使用者提供之聯電簡明財報截圖</x:v>
      </x:c>
    </x:row>
    <x:row r="58" ht="26.399999618530273" hidden="0" customHeight="1">
      <x:c r="A58" s="24" t="str">
        <x:v>UMC_2025_other_comprehensive_income</x:v>
      </x:c>
      <x:c r="B58" s="24" t="str">
        <x:v>聯華電子股份有限公司</x:v>
      </x:c>
      <x:c r="C58" s="24" t="str">
        <x:v>2303</x:v>
      </x:c>
      <x:c r="D58" s="24" t="n">
        <x:v>2025</x:v>
      </x:c>
      <x:c r="E58" s="24" t="n">
        <x:v>114</x:v>
      </x:c>
      <x:c r="F58" s="24" t="str">
        <x:v>簡明綜合損益表</x:v>
      </x:c>
      <x:c r="G58" s="24" t="str">
        <x:v>other_comprehensive_income</x:v>
      </x:c>
      <x:c r="H58" s="24" t="str">
        <x:v>其他綜合損益（淨額）</x:v>
      </x:c>
      <x:c r="I58" s="26" t="n">
        <x:v>-4859711</x:v>
      </x:c>
      <x:c r="J58" s="24" t="str">
        <x:v>reported</x:v>
      </x:c>
      <x:c r="K58" s="24" t="str">
        <x:v>新臺幣仟元</x:v>
      </x:c>
      <x:c r="L58" s="24" t="str">
        <x:v>duration</x:v>
      </x:c>
      <x:c r="M58" s="24" t="str">
        <x:v>2025-01-01</x:v>
      </x:c>
      <x:c r="N58" s="24" t="str">
        <x:v>2025-12-31</x:v>
      </x:c>
      <x:c r="O58" s="24" t="str">
        <x:v>使用者提供之聯電簡明財報截圖</x:v>
      </x:c>
    </x:row>
    <x:row r="59" ht="26.399999618530273" hidden="0" customHeight="1">
      <x:c r="A59" s="24" t="str">
        <x:v>UMC_2023_total_comprehensive_income</x:v>
      </x:c>
      <x:c r="B59" s="24" t="str">
        <x:v>聯華電子股份有限公司</x:v>
      </x:c>
      <x:c r="C59" s="24" t="str">
        <x:v>2303</x:v>
      </x:c>
      <x:c r="D59" s="24" t="n">
        <x:v>2023</x:v>
      </x:c>
      <x:c r="E59" s="24" t="n">
        <x:v>112</x:v>
      </x:c>
      <x:c r="F59" s="24" t="str">
        <x:v>簡明綜合損益表</x:v>
      </x:c>
      <x:c r="G59" s="24" t="str">
        <x:v>total_comprehensive_income</x:v>
      </x:c>
      <x:c r="H59" s="24" t="str">
        <x:v>本期綜合損益總額</x:v>
      </x:c>
      <x:c r="I59" s="26" t="n">
        <x:v>67857743</x:v>
      </x:c>
      <x:c r="J59" s="24" t="str">
        <x:v>reported</x:v>
      </x:c>
      <x:c r="K59" s="24" t="str">
        <x:v>新臺幣仟元</x:v>
      </x:c>
      <x:c r="L59" s="24" t="str">
        <x:v>duration</x:v>
      </x:c>
      <x:c r="M59" s="24" t="str">
        <x:v>2023-01-01</x:v>
      </x:c>
      <x:c r="N59" s="24" t="str">
        <x:v>2023-12-31</x:v>
      </x:c>
      <x:c r="O59" s="24" t="str">
        <x:v>使用者提供之聯電簡明財報截圖</x:v>
      </x:c>
    </x:row>
    <x:row r="60" ht="26.399999618530273" hidden="0" customHeight="1">
      <x:c r="A60" s="24" t="str">
        <x:v>UMC_2024_total_comprehensive_income</x:v>
      </x:c>
      <x:c r="B60" s="24" t="str">
        <x:v>聯華電子股份有限公司</x:v>
      </x:c>
      <x:c r="C60" s="24" t="str">
        <x:v>2303</x:v>
      </x:c>
      <x:c r="D60" s="24" t="n">
        <x:v>2024</x:v>
      </x:c>
      <x:c r="E60" s="24" t="n">
        <x:v>113</x:v>
      </x:c>
      <x:c r="F60" s="24" t="str">
        <x:v>簡明綜合損益表</x:v>
      </x:c>
      <x:c r="G60" s="24" t="str">
        <x:v>total_comprehensive_income</x:v>
      </x:c>
      <x:c r="H60" s="24" t="str">
        <x:v>本期綜合損益總額</x:v>
      </x:c>
      <x:c r="I60" s="26" t="n">
        <x:v>55407240</x:v>
      </x:c>
      <x:c r="J60" s="24" t="str">
        <x:v>reported</x:v>
      </x:c>
      <x:c r="K60" s="24" t="str">
        <x:v>新臺幣仟元</x:v>
      </x:c>
      <x:c r="L60" s="24" t="str">
        <x:v>duration</x:v>
      </x:c>
      <x:c r="M60" s="24" t="str">
        <x:v>2024-01-01</x:v>
      </x:c>
      <x:c r="N60" s="24" t="str">
        <x:v>2024-12-31</x:v>
      </x:c>
      <x:c r="O60" s="24" t="str">
        <x:v>使用者提供之聯電簡明財報截圖</x:v>
      </x:c>
    </x:row>
    <x:row r="61" ht="26.399999618530273" hidden="0" customHeight="1">
      <x:c r="A61" s="24" t="str">
        <x:v>UMC_2025_total_comprehensive_income</x:v>
      </x:c>
      <x:c r="B61" s="24" t="str">
        <x:v>聯華電子股份有限公司</x:v>
      </x:c>
      <x:c r="C61" s="24" t="str">
        <x:v>2303</x:v>
      </x:c>
      <x:c r="D61" s="24" t="n">
        <x:v>2025</x:v>
      </x:c>
      <x:c r="E61" s="24" t="n">
        <x:v>114</x:v>
      </x:c>
      <x:c r="F61" s="24" t="str">
        <x:v>簡明綜合損益表</x:v>
      </x:c>
      <x:c r="G61" s="24" t="str">
        <x:v>total_comprehensive_income</x:v>
      </x:c>
      <x:c r="H61" s="24" t="str">
        <x:v>本期綜合損益總額</x:v>
      </x:c>
      <x:c r="I61" s="26" t="n">
        <x:v>36675037</x:v>
      </x:c>
      <x:c r="J61" s="24" t="str">
        <x:v>reported</x:v>
      </x:c>
      <x:c r="K61" s="24" t="str">
        <x:v>新臺幣仟元</x:v>
      </x:c>
      <x:c r="L61" s="24" t="str">
        <x:v>duration</x:v>
      </x:c>
      <x:c r="M61" s="24" t="str">
        <x:v>2025-01-01</x:v>
      </x:c>
      <x:c r="N61" s="24" t="str">
        <x:v>2025-12-31</x:v>
      </x:c>
      <x:c r="O61" s="24" t="str">
        <x:v>使用者提供之聯電簡明財報截圖</x:v>
      </x:c>
    </x:row>
    <x:row r="62" ht="26.399999618530273" hidden="0" customHeight="1">
      <x:c r="A62" s="24" t="str">
        <x:v>UMC_2023_profit_attributable_parent</x:v>
      </x:c>
      <x:c r="B62" s="24" t="str">
        <x:v>聯華電子股份有限公司</x:v>
      </x:c>
      <x:c r="C62" s="24" t="str">
        <x:v>2303</x:v>
      </x:c>
      <x:c r="D62" s="24" t="n">
        <x:v>2023</x:v>
      </x:c>
      <x:c r="E62" s="24" t="n">
        <x:v>112</x:v>
      </x:c>
      <x:c r="F62" s="24" t="str">
        <x:v>簡明綜合損益表</x:v>
      </x:c>
      <x:c r="G62" s="24" t="str">
        <x:v>profit_attributable_parent</x:v>
      </x:c>
      <x:c r="H62" s="24" t="str">
        <x:v>淨利歸屬於母公司業主</x:v>
      </x:c>
      <x:c r="I62" s="26" t="n">
        <x:v>60989633</x:v>
      </x:c>
      <x:c r="J62" s="24" t="str">
        <x:v>reported</x:v>
      </x:c>
      <x:c r="K62" s="24" t="str">
        <x:v>新臺幣仟元</x:v>
      </x:c>
      <x:c r="L62" s="24" t="str">
        <x:v>duration</x:v>
      </x:c>
      <x:c r="M62" s="24" t="str">
        <x:v>2023-01-01</x:v>
      </x:c>
      <x:c r="N62" s="24" t="str">
        <x:v>2023-12-31</x:v>
      </x:c>
      <x:c r="O62" s="24" t="str">
        <x:v>使用者提供之聯電簡明財報截圖</x:v>
      </x:c>
    </x:row>
    <x:row r="63" ht="26.399999618530273" hidden="0" customHeight="1">
      <x:c r="A63" s="24" t="str">
        <x:v>UMC_2024_profit_attributable_parent</x:v>
      </x:c>
      <x:c r="B63" s="24" t="str">
        <x:v>聯華電子股份有限公司</x:v>
      </x:c>
      <x:c r="C63" s="24" t="str">
        <x:v>2303</x:v>
      </x:c>
      <x:c r="D63" s="24" t="n">
        <x:v>2024</x:v>
      </x:c>
      <x:c r="E63" s="24" t="n">
        <x:v>113</x:v>
      </x:c>
      <x:c r="F63" s="24" t="str">
        <x:v>簡明綜合損益表</x:v>
      </x:c>
      <x:c r="G63" s="24" t="str">
        <x:v>profit_attributable_parent</x:v>
      </x:c>
      <x:c r="H63" s="24" t="str">
        <x:v>淨利歸屬於母公司業主</x:v>
      </x:c>
      <x:c r="I63" s="26" t="n">
        <x:v>47210930</x:v>
      </x:c>
      <x:c r="J63" s="24" t="str">
        <x:v>reported</x:v>
      </x:c>
      <x:c r="K63" s="24" t="str">
        <x:v>新臺幣仟元</x:v>
      </x:c>
      <x:c r="L63" s="24" t="str">
        <x:v>duration</x:v>
      </x:c>
      <x:c r="M63" s="24" t="str">
        <x:v>2024-01-01</x:v>
      </x:c>
      <x:c r="N63" s="24" t="str">
        <x:v>2024-12-31</x:v>
      </x:c>
      <x:c r="O63" s="24" t="str">
        <x:v>使用者提供之聯電簡明財報截圖</x:v>
      </x:c>
    </x:row>
    <x:row r="64" ht="26.399999618530273" hidden="0" customHeight="1">
      <x:c r="A64" s="24" t="str">
        <x:v>UMC_2025_profit_attributable_parent</x:v>
      </x:c>
      <x:c r="B64" s="24" t="str">
        <x:v>聯華電子股份有限公司</x:v>
      </x:c>
      <x:c r="C64" s="24" t="str">
        <x:v>2303</x:v>
      </x:c>
      <x:c r="D64" s="24" t="n">
        <x:v>2025</x:v>
      </x:c>
      <x:c r="E64" s="24" t="n">
        <x:v>114</x:v>
      </x:c>
      <x:c r="F64" s="24" t="str">
        <x:v>簡明綜合損益表</x:v>
      </x:c>
      <x:c r="G64" s="24" t="str">
        <x:v>profit_attributable_parent</x:v>
      </x:c>
      <x:c r="H64" s="24" t="str">
        <x:v>淨利歸屬於母公司業主</x:v>
      </x:c>
      <x:c r="I64" s="26" t="n">
        <x:v>41716249</x:v>
      </x:c>
      <x:c r="J64" s="24" t="str">
        <x:v>reported</x:v>
      </x:c>
      <x:c r="K64" s="24" t="str">
        <x:v>新臺幣仟元</x:v>
      </x:c>
      <x:c r="L64" s="24" t="str">
        <x:v>duration</x:v>
      </x:c>
      <x:c r="M64" s="24" t="str">
        <x:v>2025-01-01</x:v>
      </x:c>
      <x:c r="N64" s="24" t="str">
        <x:v>2025-12-31</x:v>
      </x:c>
      <x:c r="O64" s="24" t="str">
        <x:v>使用者提供之聯電簡明財報截圖</x:v>
      </x:c>
    </x:row>
    <x:row r="65" ht="26.399999618530273" hidden="0" customHeight="1">
      <x:c r="A65" s="24" t="str">
        <x:v>UMC_2023_profit_predecessor_interest</x:v>
      </x:c>
      <x:c r="B65" s="24" t="str">
        <x:v>聯華電子股份有限公司</x:v>
      </x:c>
      <x:c r="C65" s="24" t="str">
        <x:v>2303</x:v>
      </x:c>
      <x:c r="D65" s="24" t="n">
        <x:v>2023</x:v>
      </x:c>
      <x:c r="E65" s="24" t="n">
        <x:v>112</x:v>
      </x:c>
      <x:c r="F65" s="24" t="str">
        <x:v>簡明綜合損益表</x:v>
      </x:c>
      <x:c r="G65" s="24" t="str">
        <x:v>profit_predecessor_interest</x:v>
      </x:c>
      <x:c r="H65" s="24" t="str">
        <x:v>淨利歸屬於共同控制下前手權益</x:v>
      </x:c>
      <x:c r="I65" s="26"/>
      <x:c r="J65" s="24" t="str">
        <x:v>not_reported</x:v>
      </x:c>
      <x:c r="K65" s="24" t="str">
        <x:v>新臺幣仟元</x:v>
      </x:c>
      <x:c r="L65" s="24" t="str">
        <x:v>duration</x:v>
      </x:c>
      <x:c r="M65" s="24" t="str">
        <x:v>2023-01-01</x:v>
      </x:c>
      <x:c r="N65" s="24" t="str">
        <x:v>2023-12-31</x:v>
      </x:c>
      <x:c r="O65" s="24" t="str">
        <x:v>使用者提供之聯電簡明財報截圖</x:v>
      </x:c>
    </x:row>
    <x:row r="66" ht="26.399999618530273" hidden="0" customHeight="1">
      <x:c r="A66" s="24" t="str">
        <x:v>UMC_2024_profit_predecessor_interest</x:v>
      </x:c>
      <x:c r="B66" s="24" t="str">
        <x:v>聯華電子股份有限公司</x:v>
      </x:c>
      <x:c r="C66" s="24" t="str">
        <x:v>2303</x:v>
      </x:c>
      <x:c r="D66" s="24" t="n">
        <x:v>2024</x:v>
      </x:c>
      <x:c r="E66" s="24" t="n">
        <x:v>113</x:v>
      </x:c>
      <x:c r="F66" s="24" t="str">
        <x:v>簡明綜合損益表</x:v>
      </x:c>
      <x:c r="G66" s="24" t="str">
        <x:v>profit_predecessor_interest</x:v>
      </x:c>
      <x:c r="H66" s="24" t="str">
        <x:v>淨利歸屬於共同控制下前手權益</x:v>
      </x:c>
      <x:c r="I66" s="26"/>
      <x:c r="J66" s="24" t="str">
        <x:v>not_reported</x:v>
      </x:c>
      <x:c r="K66" s="24" t="str">
        <x:v>新臺幣仟元</x:v>
      </x:c>
      <x:c r="L66" s="24" t="str">
        <x:v>duration</x:v>
      </x:c>
      <x:c r="M66" s="24" t="str">
        <x:v>2024-01-01</x:v>
      </x:c>
      <x:c r="N66" s="24" t="str">
        <x:v>2024-12-31</x:v>
      </x:c>
      <x:c r="O66" s="24" t="str">
        <x:v>使用者提供之聯電簡明財報截圖</x:v>
      </x:c>
    </x:row>
    <x:row r="67" ht="26.399999618530273" hidden="0" customHeight="1">
      <x:c r="A67" s="24" t="str">
        <x:v>UMC_2025_profit_predecessor_interest</x:v>
      </x:c>
      <x:c r="B67" s="24" t="str">
        <x:v>聯華電子股份有限公司</x:v>
      </x:c>
      <x:c r="C67" s="24" t="str">
        <x:v>2303</x:v>
      </x:c>
      <x:c r="D67" s="24" t="n">
        <x:v>2025</x:v>
      </x:c>
      <x:c r="E67" s="24" t="n">
        <x:v>114</x:v>
      </x:c>
      <x:c r="F67" s="24" t="str">
        <x:v>簡明綜合損益表</x:v>
      </x:c>
      <x:c r="G67" s="24" t="str">
        <x:v>profit_predecessor_interest</x:v>
      </x:c>
      <x:c r="H67" s="24" t="str">
        <x:v>淨利歸屬於共同控制下前手權益</x:v>
      </x:c>
      <x:c r="I67" s="26"/>
      <x:c r="J67" s="24" t="str">
        <x:v>not_reported</x:v>
      </x:c>
      <x:c r="K67" s="24" t="str">
        <x:v>新臺幣仟元</x:v>
      </x:c>
      <x:c r="L67" s="24" t="str">
        <x:v>duration</x:v>
      </x:c>
      <x:c r="M67" s="24" t="str">
        <x:v>2025-01-01</x:v>
      </x:c>
      <x:c r="N67" s="24" t="str">
        <x:v>2025-12-31</x:v>
      </x:c>
      <x:c r="O67" s="24" t="str">
        <x:v>使用者提供之聯電簡明財報截圖</x:v>
      </x:c>
    </x:row>
    <x:row r="68" ht="15" hidden="0" customHeight="1">
      <x:c r="A68" s="24" t="str">
        <x:v>UMC_2023_profit_attributable_nci</x:v>
      </x:c>
      <x:c r="B68" s="24" t="str">
        <x:v>聯華電子股份有限公司</x:v>
      </x:c>
      <x:c r="C68" s="24" t="str">
        <x:v>2303</x:v>
      </x:c>
      <x:c r="D68" s="24" t="n">
        <x:v>2023</x:v>
      </x:c>
      <x:c r="E68" s="24" t="n">
        <x:v>112</x:v>
      </x:c>
      <x:c r="F68" s="24" t="str">
        <x:v>簡明綜合損益表</x:v>
      </x:c>
      <x:c r="G68" s="24" t="str">
        <x:v>profit_attributable_nci</x:v>
      </x:c>
      <x:c r="H68" s="24" t="str">
        <x:v>淨利歸屬於非控制權益</x:v>
      </x:c>
      <x:c r="I68" s="26" t="n">
        <x:v>450184</x:v>
      </x:c>
      <x:c r="J68" s="24" t="str">
        <x:v>reported</x:v>
      </x:c>
      <x:c r="K68" s="24" t="str">
        <x:v>新臺幣仟元</x:v>
      </x:c>
      <x:c r="L68" s="24" t="str">
        <x:v>duration</x:v>
      </x:c>
      <x:c r="M68" s="24" t="str">
        <x:v>2023-01-01</x:v>
      </x:c>
      <x:c r="N68" s="24" t="str">
        <x:v>2023-12-31</x:v>
      </x:c>
      <x:c r="O68" s="24" t="str">
        <x:v>使用者提供之聯電簡明財報截圖</x:v>
      </x:c>
    </x:row>
    <x:row r="69" ht="15" hidden="0" customHeight="1">
      <x:c r="A69" s="24" t="str">
        <x:v>UMC_2024_profit_attributable_nci</x:v>
      </x:c>
      <x:c r="B69" s="24" t="str">
        <x:v>聯華電子股份有限公司</x:v>
      </x:c>
      <x:c r="C69" s="24" t="str">
        <x:v>2303</x:v>
      </x:c>
      <x:c r="D69" s="24" t="n">
        <x:v>2024</x:v>
      </x:c>
      <x:c r="E69" s="24" t="n">
        <x:v>113</x:v>
      </x:c>
      <x:c r="F69" s="24" t="str">
        <x:v>簡明綜合損益表</x:v>
      </x:c>
      <x:c r="G69" s="24" t="str">
        <x:v>profit_attributable_nci</x:v>
      </x:c>
      <x:c r="H69" s="24" t="str">
        <x:v>淨利歸屬於非控制權益</x:v>
      </x:c>
      <x:c r="I69" s="26" t="n">
        <x:v>-104674</x:v>
      </x:c>
      <x:c r="J69" s="24" t="str">
        <x:v>reported</x:v>
      </x:c>
      <x:c r="K69" s="24" t="str">
        <x:v>新臺幣仟元</x:v>
      </x:c>
      <x:c r="L69" s="24" t="str">
        <x:v>duration</x:v>
      </x:c>
      <x:c r="M69" s="24" t="str">
        <x:v>2024-01-01</x:v>
      </x:c>
      <x:c r="N69" s="24" t="str">
        <x:v>2024-12-31</x:v>
      </x:c>
      <x:c r="O69" s="24" t="str">
        <x:v>使用者提供之聯電簡明財報截圖</x:v>
      </x:c>
    </x:row>
    <x:row r="70" ht="15" hidden="0" customHeight="1">
      <x:c r="A70" s="24" t="str">
        <x:v>UMC_2025_profit_attributable_nci</x:v>
      </x:c>
      <x:c r="B70" s="24" t="str">
        <x:v>聯華電子股份有限公司</x:v>
      </x:c>
      <x:c r="C70" s="24" t="str">
        <x:v>2303</x:v>
      </x:c>
      <x:c r="D70" s="24" t="n">
        <x:v>2025</x:v>
      </x:c>
      <x:c r="E70" s="24" t="n">
        <x:v>114</x:v>
      </x:c>
      <x:c r="F70" s="24" t="str">
        <x:v>簡明綜合損益表</x:v>
      </x:c>
      <x:c r="G70" s="24" t="str">
        <x:v>profit_attributable_nci</x:v>
      </x:c>
      <x:c r="H70" s="24" t="str">
        <x:v>淨利歸屬於非控制權益</x:v>
      </x:c>
      <x:c r="I70" s="26" t="n">
        <x:v>-181501</x:v>
      </x:c>
      <x:c r="J70" s="24" t="str">
        <x:v>reported</x:v>
      </x:c>
      <x:c r="K70" s="24" t="str">
        <x:v>新臺幣仟元</x:v>
      </x:c>
      <x:c r="L70" s="24" t="str">
        <x:v>duration</x:v>
      </x:c>
      <x:c r="M70" s="24" t="str">
        <x:v>2025-01-01</x:v>
      </x:c>
      <x:c r="N70" s="24" t="str">
        <x:v>2025-12-31</x:v>
      </x:c>
      <x:c r="O70" s="24" t="str">
        <x:v>使用者提供之聯電簡明財報截圖</x:v>
      </x:c>
    </x:row>
    <x:row r="71" ht="26.399999618530273" hidden="0" customHeight="1">
      <x:c r="A71" s="24" t="str">
        <x:v>UMC_2023_comprehensive_income_parent</x:v>
      </x:c>
      <x:c r="B71" s="24" t="str">
        <x:v>聯華電子股份有限公司</x:v>
      </x:c>
      <x:c r="C71" s="24" t="str">
        <x:v>2303</x:v>
      </x:c>
      <x:c r="D71" s="24" t="n">
        <x:v>2023</x:v>
      </x:c>
      <x:c r="E71" s="24" t="n">
        <x:v>112</x:v>
      </x:c>
      <x:c r="F71" s="24" t="str">
        <x:v>簡明綜合損益表</x:v>
      </x:c>
      <x:c r="G71" s="24" t="str">
        <x:v>comprehensive_income_parent</x:v>
      </x:c>
      <x:c r="H71" s="24" t="str">
        <x:v>綜合損益總額歸屬於母公司業主</x:v>
      </x:c>
      <x:c r="I71" s="26" t="n">
        <x:v>67407573</x:v>
      </x:c>
      <x:c r="J71" s="24" t="str">
        <x:v>reported</x:v>
      </x:c>
      <x:c r="K71" s="24" t="str">
        <x:v>新臺幣仟元</x:v>
      </x:c>
      <x:c r="L71" s="24" t="str">
        <x:v>duration</x:v>
      </x:c>
      <x:c r="M71" s="24" t="str">
        <x:v>2023-01-01</x:v>
      </x:c>
      <x:c r="N71" s="24" t="str">
        <x:v>2023-12-31</x:v>
      </x:c>
      <x:c r="O71" s="24" t="str">
        <x:v>使用者提供之聯電簡明財報截圖</x:v>
      </x:c>
    </x:row>
    <x:row r="72" ht="26.399999618530273" hidden="0" customHeight="1">
      <x:c r="A72" s="24" t="str">
        <x:v>UMC_2024_comprehensive_income_parent</x:v>
      </x:c>
      <x:c r="B72" s="24" t="str">
        <x:v>聯華電子股份有限公司</x:v>
      </x:c>
      <x:c r="C72" s="24" t="str">
        <x:v>2303</x:v>
      </x:c>
      <x:c r="D72" s="24" t="n">
        <x:v>2024</x:v>
      </x:c>
      <x:c r="E72" s="24" t="n">
        <x:v>113</x:v>
      </x:c>
      <x:c r="F72" s="24" t="str">
        <x:v>簡明綜合損益表</x:v>
      </x:c>
      <x:c r="G72" s="24" t="str">
        <x:v>comprehensive_income_parent</x:v>
      </x:c>
      <x:c r="H72" s="24" t="str">
        <x:v>綜合損益總額歸屬於母公司業主</x:v>
      </x:c>
      <x:c r="I72" s="26" t="n">
        <x:v>55511838</x:v>
      </x:c>
      <x:c r="J72" s="24" t="str">
        <x:v>reported</x:v>
      </x:c>
      <x:c r="K72" s="24" t="str">
        <x:v>新臺幣仟元</x:v>
      </x:c>
      <x:c r="L72" s="24" t="str">
        <x:v>duration</x:v>
      </x:c>
      <x:c r="M72" s="24" t="str">
        <x:v>2024-01-01</x:v>
      </x:c>
      <x:c r="N72" s="24" t="str">
        <x:v>2024-12-31</x:v>
      </x:c>
      <x:c r="O72" s="24" t="str">
        <x:v>使用者提供之聯電簡明財報截圖</x:v>
      </x:c>
    </x:row>
    <x:row r="73" ht="26.399999618530273" hidden="0" customHeight="1">
      <x:c r="A73" s="24" t="str">
        <x:v>UMC_2025_comprehensive_income_parent</x:v>
      </x:c>
      <x:c r="B73" s="24" t="str">
        <x:v>聯華電子股份有限公司</x:v>
      </x:c>
      <x:c r="C73" s="24" t="str">
        <x:v>2303</x:v>
      </x:c>
      <x:c r="D73" s="24" t="n">
        <x:v>2025</x:v>
      </x:c>
      <x:c r="E73" s="24" t="n">
        <x:v>114</x:v>
      </x:c>
      <x:c r="F73" s="24" t="str">
        <x:v>簡明綜合損益表</x:v>
      </x:c>
      <x:c r="G73" s="24" t="str">
        <x:v>comprehensive_income_parent</x:v>
      </x:c>
      <x:c r="H73" s="24" t="str">
        <x:v>綜合損益總額歸屬於母公司業主</x:v>
      </x:c>
      <x:c r="I73" s="26" t="n">
        <x:v>36856560</x:v>
      </x:c>
      <x:c r="J73" s="24" t="str">
        <x:v>reported</x:v>
      </x:c>
      <x:c r="K73" s="24" t="str">
        <x:v>新臺幣仟元</x:v>
      </x:c>
      <x:c r="L73" s="24" t="str">
        <x:v>duration</x:v>
      </x:c>
      <x:c r="M73" s="24" t="str">
        <x:v>2025-01-01</x:v>
      </x:c>
      <x:c r="N73" s="24" t="str">
        <x:v>2025-12-31</x:v>
      </x:c>
      <x:c r="O73" s="24" t="str">
        <x:v>使用者提供之聯電簡明財報截圖</x:v>
      </x:c>
    </x:row>
    <x:row r="74" ht="26.399999618530273" hidden="0" customHeight="1">
      <x:c r="A74" s="24" t="str">
        <x:v>UMC_2023_comprehensive_income_predecessor</x:v>
      </x:c>
      <x:c r="B74" s="24" t="str">
        <x:v>聯華電子股份有限公司</x:v>
      </x:c>
      <x:c r="C74" s="24" t="str">
        <x:v>2303</x:v>
      </x:c>
      <x:c r="D74" s="24" t="n">
        <x:v>2023</x:v>
      </x:c>
      <x:c r="E74" s="24" t="n">
        <x:v>112</x:v>
      </x:c>
      <x:c r="F74" s="24" t="str">
        <x:v>簡明綜合損益表</x:v>
      </x:c>
      <x:c r="G74" s="24" t="str">
        <x:v>comprehensive_income_predecessor</x:v>
      </x:c>
      <x:c r="H74" s="24" t="str">
        <x:v>綜合損益總額歸屬於共同控制下前手權益</x:v>
      </x:c>
      <x:c r="I74" s="26"/>
      <x:c r="J74" s="24" t="str">
        <x:v>not_reported</x:v>
      </x:c>
      <x:c r="K74" s="24" t="str">
        <x:v>新臺幣仟元</x:v>
      </x:c>
      <x:c r="L74" s="24" t="str">
        <x:v>duration</x:v>
      </x:c>
      <x:c r="M74" s="24" t="str">
        <x:v>2023-01-01</x:v>
      </x:c>
      <x:c r="N74" s="24" t="str">
        <x:v>2023-12-31</x:v>
      </x:c>
      <x:c r="O74" s="24" t="str">
        <x:v>使用者提供之聯電簡明財報截圖</x:v>
      </x:c>
    </x:row>
    <x:row r="75" ht="26.399999618530273" hidden="0" customHeight="1">
      <x:c r="A75" s="24" t="str">
        <x:v>UMC_2024_comprehensive_income_predecessor</x:v>
      </x:c>
      <x:c r="B75" s="24" t="str">
        <x:v>聯華電子股份有限公司</x:v>
      </x:c>
      <x:c r="C75" s="24" t="str">
        <x:v>2303</x:v>
      </x:c>
      <x:c r="D75" s="24" t="n">
        <x:v>2024</x:v>
      </x:c>
      <x:c r="E75" s="24" t="n">
        <x:v>113</x:v>
      </x:c>
      <x:c r="F75" s="24" t="str">
        <x:v>簡明綜合損益表</x:v>
      </x:c>
      <x:c r="G75" s="24" t="str">
        <x:v>comprehensive_income_predecessor</x:v>
      </x:c>
      <x:c r="H75" s="24" t="str">
        <x:v>綜合損益總額歸屬於共同控制下前手權益</x:v>
      </x:c>
      <x:c r="I75" s="26"/>
      <x:c r="J75" s="24" t="str">
        <x:v>not_reported</x:v>
      </x:c>
      <x:c r="K75" s="24" t="str">
        <x:v>新臺幣仟元</x:v>
      </x:c>
      <x:c r="L75" s="24" t="str">
        <x:v>duration</x:v>
      </x:c>
      <x:c r="M75" s="24" t="str">
        <x:v>2024-01-01</x:v>
      </x:c>
      <x:c r="N75" s="24" t="str">
        <x:v>2024-12-31</x:v>
      </x:c>
      <x:c r="O75" s="24" t="str">
        <x:v>使用者提供之聯電簡明財報截圖</x:v>
      </x:c>
    </x:row>
    <x:row r="76" ht="26.399999618530273" hidden="0" customHeight="1">
      <x:c r="A76" s="24" t="str">
        <x:v>UMC_2025_comprehensive_income_predecessor</x:v>
      </x:c>
      <x:c r="B76" s="24" t="str">
        <x:v>聯華電子股份有限公司</x:v>
      </x:c>
      <x:c r="C76" s="24" t="str">
        <x:v>2303</x:v>
      </x:c>
      <x:c r="D76" s="24" t="n">
        <x:v>2025</x:v>
      </x:c>
      <x:c r="E76" s="24" t="n">
        <x:v>114</x:v>
      </x:c>
      <x:c r="F76" s="24" t="str">
        <x:v>簡明綜合損益表</x:v>
      </x:c>
      <x:c r="G76" s="24" t="str">
        <x:v>comprehensive_income_predecessor</x:v>
      </x:c>
      <x:c r="H76" s="24" t="str">
        <x:v>綜合損益總額歸屬於共同控制下前手權益</x:v>
      </x:c>
      <x:c r="I76" s="26"/>
      <x:c r="J76" s="24" t="str">
        <x:v>not_reported</x:v>
      </x:c>
      <x:c r="K76" s="24" t="str">
        <x:v>新臺幣仟元</x:v>
      </x:c>
      <x:c r="L76" s="24" t="str">
        <x:v>duration</x:v>
      </x:c>
      <x:c r="M76" s="24" t="str">
        <x:v>2025-01-01</x:v>
      </x:c>
      <x:c r="N76" s="24" t="str">
        <x:v>2025-12-31</x:v>
      </x:c>
      <x:c r="O76" s="24" t="str">
        <x:v>使用者提供之聯電簡明財報截圖</x:v>
      </x:c>
    </x:row>
    <x:row r="77" ht="26.399999618530273" hidden="0" customHeight="1">
      <x:c r="A77" s="24" t="str">
        <x:v>UMC_2023_comprehensive_income_nci</x:v>
      </x:c>
      <x:c r="B77" s="24" t="str">
        <x:v>聯華電子股份有限公司</x:v>
      </x:c>
      <x:c r="C77" s="24" t="str">
        <x:v>2303</x:v>
      </x:c>
      <x:c r="D77" s="24" t="n">
        <x:v>2023</x:v>
      </x:c>
      <x:c r="E77" s="24" t="n">
        <x:v>112</x:v>
      </x:c>
      <x:c r="F77" s="24" t="str">
        <x:v>簡明綜合損益表</x:v>
      </x:c>
      <x:c r="G77" s="24" t="str">
        <x:v>comprehensive_income_nci</x:v>
      </x:c>
      <x:c r="H77" s="24" t="str">
        <x:v>綜合損益總額歸屬於非控制權益</x:v>
      </x:c>
      <x:c r="I77" s="26" t="n">
        <x:v>450170</x:v>
      </x:c>
      <x:c r="J77" s="24" t="str">
        <x:v>reported</x:v>
      </x:c>
      <x:c r="K77" s="24" t="str">
        <x:v>新臺幣仟元</x:v>
      </x:c>
      <x:c r="L77" s="24" t="str">
        <x:v>duration</x:v>
      </x:c>
      <x:c r="M77" s="24" t="str">
        <x:v>2023-01-01</x:v>
      </x:c>
      <x:c r="N77" s="24" t="str">
        <x:v>2023-12-31</x:v>
      </x:c>
      <x:c r="O77" s="24" t="str">
        <x:v>使用者提供之聯電簡明財報截圖</x:v>
      </x:c>
    </x:row>
    <x:row r="78" ht="26.399999618530273" hidden="0" customHeight="1">
      <x:c r="A78" s="24" t="str">
        <x:v>UMC_2024_comprehensive_income_nci</x:v>
      </x:c>
      <x:c r="B78" s="24" t="str">
        <x:v>聯華電子股份有限公司</x:v>
      </x:c>
      <x:c r="C78" s="24" t="str">
        <x:v>2303</x:v>
      </x:c>
      <x:c r="D78" s="24" t="n">
        <x:v>2024</x:v>
      </x:c>
      <x:c r="E78" s="24" t="n">
        <x:v>113</x:v>
      </x:c>
      <x:c r="F78" s="24" t="str">
        <x:v>簡明綜合損益表</x:v>
      </x:c>
      <x:c r="G78" s="24" t="str">
        <x:v>comprehensive_income_nci</x:v>
      </x:c>
      <x:c r="H78" s="24" t="str">
        <x:v>綜合損益總額歸屬於非控制權益</x:v>
      </x:c>
      <x:c r="I78" s="26" t="n">
        <x:v>-104598</x:v>
      </x:c>
      <x:c r="J78" s="24" t="str">
        <x:v>reported</x:v>
      </x:c>
      <x:c r="K78" s="24" t="str">
        <x:v>新臺幣仟元</x:v>
      </x:c>
      <x:c r="L78" s="24" t="str">
        <x:v>duration</x:v>
      </x:c>
      <x:c r="M78" s="24" t="str">
        <x:v>2024-01-01</x:v>
      </x:c>
      <x:c r="N78" s="24" t="str">
        <x:v>2024-12-31</x:v>
      </x:c>
      <x:c r="O78" s="24" t="str">
        <x:v>使用者提供之聯電簡明財報截圖</x:v>
      </x:c>
    </x:row>
    <x:row r="79" ht="26.399999618530273" hidden="0" customHeight="1">
      <x:c r="A79" s="24" t="str">
        <x:v>UMC_2025_comprehensive_income_nci</x:v>
      </x:c>
      <x:c r="B79" s="24" t="str">
        <x:v>聯華電子股份有限公司</x:v>
      </x:c>
      <x:c r="C79" s="24" t="str">
        <x:v>2303</x:v>
      </x:c>
      <x:c r="D79" s="24" t="n">
        <x:v>2025</x:v>
      </x:c>
      <x:c r="E79" s="24" t="n">
        <x:v>114</x:v>
      </x:c>
      <x:c r="F79" s="24" t="str">
        <x:v>簡明綜合損益表</x:v>
      </x:c>
      <x:c r="G79" s="24" t="str">
        <x:v>comprehensive_income_nci</x:v>
      </x:c>
      <x:c r="H79" s="24" t="str">
        <x:v>綜合損益總額歸屬於非控制權益</x:v>
      </x:c>
      <x:c r="I79" s="26" t="n">
        <x:v>-181523</x:v>
      </x:c>
      <x:c r="J79" s="24" t="str">
        <x:v>reported</x:v>
      </x:c>
      <x:c r="K79" s="24" t="str">
        <x:v>新臺幣仟元</x:v>
      </x:c>
      <x:c r="L79" s="24" t="str">
        <x:v>duration</x:v>
      </x:c>
      <x:c r="M79" s="24" t="str">
        <x:v>2025-01-01</x:v>
      </x:c>
      <x:c r="N79" s="24" t="str">
        <x:v>2025-12-31</x:v>
      </x:c>
      <x:c r="O79" s="24" t="str">
        <x:v>使用者提供之聯電簡明財報截圖</x:v>
      </x:c>
    </x:row>
    <x:row r="80" ht="15" hidden="0" customHeight="1">
      <x:c r="A80" s="24" t="str">
        <x:v>UMC_2023_basic_eps</x:v>
      </x:c>
      <x:c r="B80" s="24" t="str">
        <x:v>聯華電子股份有限公司</x:v>
      </x:c>
      <x:c r="C80" s="24" t="str">
        <x:v>2303</x:v>
      </x:c>
      <x:c r="D80" s="24" t="n">
        <x:v>2023</x:v>
      </x:c>
      <x:c r="E80" s="24" t="n">
        <x:v>112</x:v>
      </x:c>
      <x:c r="F80" s="24" t="str">
        <x:v>簡明綜合損益表</x:v>
      </x:c>
      <x:c r="G80" s="24" t="str">
        <x:v>basic_eps</x:v>
      </x:c>
      <x:c r="H80" s="24" t="str">
        <x:v>基本每股盈餘（元）</x:v>
      </x:c>
      <x:c r="I80" s="26" t="n">
        <x:v>4.93</x:v>
      </x:c>
      <x:c r="J80" s="24" t="str">
        <x:v>reported</x:v>
      </x:c>
      <x:c r="K80" s="24" t="str">
        <x:v>元</x:v>
      </x:c>
      <x:c r="L80" s="24" t="str">
        <x:v>duration</x:v>
      </x:c>
      <x:c r="M80" s="24" t="str">
        <x:v>2023-01-01</x:v>
      </x:c>
      <x:c r="N80" s="24" t="str">
        <x:v>2023-12-31</x:v>
      </x:c>
      <x:c r="O80" s="24" t="str">
        <x:v>使用者提供之聯電簡明財報截圖</x:v>
      </x:c>
    </x:row>
    <x:row r="81" ht="15" hidden="0" customHeight="1">
      <x:c r="A81" s="24" t="str">
        <x:v>UMC_2024_basic_eps</x:v>
      </x:c>
      <x:c r="B81" s="24" t="str">
        <x:v>聯華電子股份有限公司</x:v>
      </x:c>
      <x:c r="C81" s="24" t="str">
        <x:v>2303</x:v>
      </x:c>
      <x:c r="D81" s="24" t="n">
        <x:v>2024</x:v>
      </x:c>
      <x:c r="E81" s="24" t="n">
        <x:v>113</x:v>
      </x:c>
      <x:c r="F81" s="24" t="str">
        <x:v>簡明綜合損益表</x:v>
      </x:c>
      <x:c r="G81" s="24" t="str">
        <x:v>basic_eps</x:v>
      </x:c>
      <x:c r="H81" s="24" t="str">
        <x:v>基本每股盈餘（元）</x:v>
      </x:c>
      <x:c r="I81" s="26" t="n">
        <x:v>3.8</x:v>
      </x:c>
      <x:c r="J81" s="24" t="str">
        <x:v>reported</x:v>
      </x:c>
      <x:c r="K81" s="24" t="str">
        <x:v>元</x:v>
      </x:c>
      <x:c r="L81" s="24" t="str">
        <x:v>duration</x:v>
      </x:c>
      <x:c r="M81" s="24" t="str">
        <x:v>2024-01-01</x:v>
      </x:c>
      <x:c r="N81" s="24" t="str">
        <x:v>2024-12-31</x:v>
      </x:c>
      <x:c r="O81" s="24" t="str">
        <x:v>使用者提供之聯電簡明財報截圖</x:v>
      </x:c>
    </x:row>
    <x:row r="82" ht="15" hidden="0" customHeight="1">
      <x:c r="A82" s="24" t="str">
        <x:v>UMC_2025_basic_eps</x:v>
      </x:c>
      <x:c r="B82" s="24" t="str">
        <x:v>聯華電子股份有限公司</x:v>
      </x:c>
      <x:c r="C82" s="24" t="str">
        <x:v>2303</x:v>
      </x:c>
      <x:c r="D82" s="24" t="n">
        <x:v>2025</x:v>
      </x:c>
      <x:c r="E82" s="24" t="n">
        <x:v>114</x:v>
      </x:c>
      <x:c r="F82" s="24" t="str">
        <x:v>簡明綜合損益表</x:v>
      </x:c>
      <x:c r="G82" s="24" t="str">
        <x:v>basic_eps</x:v>
      </x:c>
      <x:c r="H82" s="24" t="str">
        <x:v>基本每股盈餘（元）</x:v>
      </x:c>
      <x:c r="I82" s="26" t="n">
        <x:v>3.34</x:v>
      </x:c>
      <x:c r="J82" s="24" t="str">
        <x:v>reported</x:v>
      </x:c>
      <x:c r="K82" s="24" t="str">
        <x:v>元</x:v>
      </x:c>
      <x:c r="L82" s="24" t="str">
        <x:v>duration</x:v>
      </x:c>
      <x:c r="M82" s="24" t="str">
        <x:v>2025-01-01</x:v>
      </x:c>
      <x:c r="N82" s="24" t="str">
        <x:v>2025-12-31</x:v>
      </x:c>
      <x:c r="O82" s="24" t="str">
        <x:v>使用者提供之聯電簡明財報截圖</x:v>
      </x:c>
    </x:row>
    <x:row r="83" ht="15" hidden="0" customHeight="1">
      <x:c r="A83" s="24" t="str">
        <x:v>UMC_2023_current_assets</x:v>
      </x:c>
      <x:c r="B83" s="24" t="str">
        <x:v>聯華電子股份有限公司</x:v>
      </x:c>
      <x:c r="C83" s="24" t="str">
        <x:v>2303</x:v>
      </x:c>
      <x:c r="D83" s="24" t="n">
        <x:v>2023</x:v>
      </x:c>
      <x:c r="E83" s="24" t="n">
        <x:v>112</x:v>
      </x:c>
      <x:c r="F83" s="24" t="str">
        <x:v>簡明資產負債表</x:v>
      </x:c>
      <x:c r="G83" s="24" t="str">
        <x:v>current_assets</x:v>
      </x:c>
      <x:c r="H83" s="24" t="str">
        <x:v>流動資產</x:v>
      </x:c>
      <x:c r="I83" s="26" t="n">
        <x:v>216797392</x:v>
      </x:c>
      <x:c r="J83" s="24" t="str">
        <x:v>reported</x:v>
      </x:c>
      <x:c r="K83" s="24" t="str">
        <x:v>新臺幣仟元</x:v>
      </x:c>
      <x:c r="L83" s="24" t="str">
        <x:v>instant</x:v>
      </x:c>
      <x:c r="M83" s="24" t="str"/>
      <x:c r="N83" s="24" t="str">
        <x:v>2023-12-31</x:v>
      </x:c>
      <x:c r="O83" s="24" t="str">
        <x:v>使用者提供之聯電簡明財報截圖</x:v>
      </x:c>
    </x:row>
    <x:row r="84" ht="15" hidden="0" customHeight="1">
      <x:c r="A84" s="24" t="str">
        <x:v>UMC_2024_current_assets</x:v>
      </x:c>
      <x:c r="B84" s="24" t="str">
        <x:v>聯華電子股份有限公司</x:v>
      </x:c>
      <x:c r="C84" s="24" t="str">
        <x:v>2303</x:v>
      </x:c>
      <x:c r="D84" s="24" t="n">
        <x:v>2024</x:v>
      </x:c>
      <x:c r="E84" s="24" t="n">
        <x:v>113</x:v>
      </x:c>
      <x:c r="F84" s="24" t="str">
        <x:v>簡明資產負債表</x:v>
      </x:c>
      <x:c r="G84" s="24" t="str">
        <x:v>current_assets</x:v>
      </x:c>
      <x:c r="H84" s="24" t="str">
        <x:v>流動資產</x:v>
      </x:c>
      <x:c r="I84" s="26" t="n">
        <x:v>189677884</x:v>
      </x:c>
      <x:c r="J84" s="24" t="str">
        <x:v>reported</x:v>
      </x:c>
      <x:c r="K84" s="24" t="str">
        <x:v>新臺幣仟元</x:v>
      </x:c>
      <x:c r="L84" s="24" t="str">
        <x:v>instant</x:v>
      </x:c>
      <x:c r="M84" s="24" t="str"/>
      <x:c r="N84" s="24" t="str">
        <x:v>2024-12-31</x:v>
      </x:c>
      <x:c r="O84" s="24" t="str">
        <x:v>使用者提供之聯電簡明財報截圖</x:v>
      </x:c>
    </x:row>
    <x:row r="85" ht="15" hidden="0" customHeight="1">
      <x:c r="A85" s="24" t="str">
        <x:v>UMC_2025_current_assets</x:v>
      </x:c>
      <x:c r="B85" s="24" t="str">
        <x:v>聯華電子股份有限公司</x:v>
      </x:c>
      <x:c r="C85" s="24" t="str">
        <x:v>2303</x:v>
      </x:c>
      <x:c r="D85" s="24" t="n">
        <x:v>2025</x:v>
      </x:c>
      <x:c r="E85" s="24" t="n">
        <x:v>114</x:v>
      </x:c>
      <x:c r="F85" s="24" t="str">
        <x:v>簡明資產負債表</x:v>
      </x:c>
      <x:c r="G85" s="24" t="str">
        <x:v>current_assets</x:v>
      </x:c>
      <x:c r="H85" s="24" t="str">
        <x:v>流動資產</x:v>
      </x:c>
      <x:c r="I85" s="26" t="n">
        <x:v>204783258</x:v>
      </x:c>
      <x:c r="J85" s="24" t="str">
        <x:v>reported</x:v>
      </x:c>
      <x:c r="K85" s="24" t="str">
        <x:v>新臺幣仟元</x:v>
      </x:c>
      <x:c r="L85" s="24" t="str">
        <x:v>instant</x:v>
      </x:c>
      <x:c r="M85" s="24" t="str"/>
      <x:c r="N85" s="24" t="str">
        <x:v>2025-12-31</x:v>
      </x:c>
      <x:c r="O85" s="24" t="str">
        <x:v>使用者提供之聯電簡明財報截圖</x:v>
      </x:c>
    </x:row>
    <x:row r="86" ht="15" hidden="0" customHeight="1">
      <x:c r="A86" s="24" t="str">
        <x:v>UMC_2023_non_current_assets</x:v>
      </x:c>
      <x:c r="B86" s="24" t="str">
        <x:v>聯華電子股份有限公司</x:v>
      </x:c>
      <x:c r="C86" s="24" t="str">
        <x:v>2303</x:v>
      </x:c>
      <x:c r="D86" s="24" t="n">
        <x:v>2023</x:v>
      </x:c>
      <x:c r="E86" s="24" t="n">
        <x:v>112</x:v>
      </x:c>
      <x:c r="F86" s="24" t="str">
        <x:v>簡明資產負債表</x:v>
      </x:c>
      <x:c r="G86" s="24" t="str">
        <x:v>non_current_assets</x:v>
      </x:c>
      <x:c r="H86" s="24" t="str">
        <x:v>非流動資產</x:v>
      </x:c>
      <x:c r="I86" s="26" t="n">
        <x:v>342389535</x:v>
      </x:c>
      <x:c r="J86" s="24" t="str">
        <x:v>reported</x:v>
      </x:c>
      <x:c r="K86" s="24" t="str">
        <x:v>新臺幣仟元</x:v>
      </x:c>
      <x:c r="L86" s="24" t="str">
        <x:v>instant</x:v>
      </x:c>
      <x:c r="M86" s="24" t="str"/>
      <x:c r="N86" s="24" t="str">
        <x:v>2023-12-31</x:v>
      </x:c>
      <x:c r="O86" s="24" t="str">
        <x:v>使用者提供之聯電簡明財報截圖</x:v>
      </x:c>
    </x:row>
    <x:row r="87" ht="15" hidden="0" customHeight="1">
      <x:c r="A87" s="24" t="str">
        <x:v>UMC_2024_non_current_assets</x:v>
      </x:c>
      <x:c r="B87" s="24" t="str">
        <x:v>聯華電子股份有限公司</x:v>
      </x:c>
      <x:c r="C87" s="24" t="str">
        <x:v>2303</x:v>
      </x:c>
      <x:c r="D87" s="24" t="n">
        <x:v>2024</x:v>
      </x:c>
      <x:c r="E87" s="24" t="n">
        <x:v>113</x:v>
      </x:c>
      <x:c r="F87" s="24" t="str">
        <x:v>簡明資產負債表</x:v>
      </x:c>
      <x:c r="G87" s="24" t="str">
        <x:v>non_current_assets</x:v>
      </x:c>
      <x:c r="H87" s="24" t="str">
        <x:v>非流動資產</x:v>
      </x:c>
      <x:c r="I87" s="26" t="n">
        <x:v>380522793</x:v>
      </x:c>
      <x:c r="J87" s="24" t="str">
        <x:v>reported</x:v>
      </x:c>
      <x:c r="K87" s="24" t="str">
        <x:v>新臺幣仟元</x:v>
      </x:c>
      <x:c r="L87" s="24" t="str">
        <x:v>instant</x:v>
      </x:c>
      <x:c r="M87" s="24" t="str"/>
      <x:c r="N87" s="24" t="str">
        <x:v>2024-12-31</x:v>
      </x:c>
      <x:c r="O87" s="24" t="str">
        <x:v>使用者提供之聯電簡明財報截圖</x:v>
      </x:c>
    </x:row>
    <x:row r="88" ht="15" hidden="0" customHeight="1">
      <x:c r="A88" s="24" t="str">
        <x:v>UMC_2025_non_current_assets</x:v>
      </x:c>
      <x:c r="B88" s="24" t="str">
        <x:v>聯華電子股份有限公司</x:v>
      </x:c>
      <x:c r="C88" s="24" t="str">
        <x:v>2303</x:v>
      </x:c>
      <x:c r="D88" s="24" t="n">
        <x:v>2025</x:v>
      </x:c>
      <x:c r="E88" s="24" t="n">
        <x:v>114</x:v>
      </x:c>
      <x:c r="F88" s="24" t="str">
        <x:v>簡明資產負債表</x:v>
      </x:c>
      <x:c r="G88" s="24" t="str">
        <x:v>non_current_assets</x:v>
      </x:c>
      <x:c r="H88" s="24" t="str">
        <x:v>非流動資產</x:v>
      </x:c>
      <x:c r="I88" s="26" t="n">
        <x:v>374212751</x:v>
      </x:c>
      <x:c r="J88" s="24" t="str">
        <x:v>reported</x:v>
      </x:c>
      <x:c r="K88" s="24" t="str">
        <x:v>新臺幣仟元</x:v>
      </x:c>
      <x:c r="L88" s="24" t="str">
        <x:v>instant</x:v>
      </x:c>
      <x:c r="M88" s="24" t="str"/>
      <x:c r="N88" s="24" t="str">
        <x:v>2025-12-31</x:v>
      </x:c>
      <x:c r="O88" s="24" t="str">
        <x:v>使用者提供之聯電簡明財報截圖</x:v>
      </x:c>
    </x:row>
    <x:row r="89" ht="15" hidden="0" customHeight="1">
      <x:c r="A89" s="24" t="str">
        <x:v>UMC_2023_total_assets</x:v>
      </x:c>
      <x:c r="B89" s="24" t="str">
        <x:v>聯華電子股份有限公司</x:v>
      </x:c>
      <x:c r="C89" s="24" t="str">
        <x:v>2303</x:v>
      </x:c>
      <x:c r="D89" s="24" t="n">
        <x:v>2023</x:v>
      </x:c>
      <x:c r="E89" s="24" t="n">
        <x:v>112</x:v>
      </x:c>
      <x:c r="F89" s="24" t="str">
        <x:v>簡明資產負債表</x:v>
      </x:c>
      <x:c r="G89" s="24" t="str">
        <x:v>total_assets</x:v>
      </x:c>
      <x:c r="H89" s="24" t="str">
        <x:v>資產總計</x:v>
      </x:c>
      <x:c r="I89" s="26" t="n">
        <x:v>559186927</x:v>
      </x:c>
      <x:c r="J89" s="24" t="str">
        <x:v>reported</x:v>
      </x:c>
      <x:c r="K89" s="24" t="str">
        <x:v>新臺幣仟元</x:v>
      </x:c>
      <x:c r="L89" s="24" t="str">
        <x:v>instant</x:v>
      </x:c>
      <x:c r="M89" s="24" t="str"/>
      <x:c r="N89" s="24" t="str">
        <x:v>2023-12-31</x:v>
      </x:c>
      <x:c r="O89" s="24" t="str">
        <x:v>使用者提供之聯電簡明財報截圖</x:v>
      </x:c>
    </x:row>
    <x:row r="90" ht="15" hidden="0" customHeight="1">
      <x:c r="A90" s="24" t="str">
        <x:v>UMC_2024_total_assets</x:v>
      </x:c>
      <x:c r="B90" s="24" t="str">
        <x:v>聯華電子股份有限公司</x:v>
      </x:c>
      <x:c r="C90" s="24" t="str">
        <x:v>2303</x:v>
      </x:c>
      <x:c r="D90" s="24" t="n">
        <x:v>2024</x:v>
      </x:c>
      <x:c r="E90" s="24" t="n">
        <x:v>113</x:v>
      </x:c>
      <x:c r="F90" s="24" t="str">
        <x:v>簡明資產負債表</x:v>
      </x:c>
      <x:c r="G90" s="24" t="str">
        <x:v>total_assets</x:v>
      </x:c>
      <x:c r="H90" s="24" t="str">
        <x:v>資產總計</x:v>
      </x:c>
      <x:c r="I90" s="26" t="n">
        <x:v>570200677</x:v>
      </x:c>
      <x:c r="J90" s="24" t="str">
        <x:v>reported</x:v>
      </x:c>
      <x:c r="K90" s="24" t="str">
        <x:v>新臺幣仟元</x:v>
      </x:c>
      <x:c r="L90" s="24" t="str">
        <x:v>instant</x:v>
      </x:c>
      <x:c r="M90" s="24" t="str"/>
      <x:c r="N90" s="24" t="str">
        <x:v>2024-12-31</x:v>
      </x:c>
      <x:c r="O90" s="24" t="str">
        <x:v>使用者提供之聯電簡明財報截圖</x:v>
      </x:c>
    </x:row>
    <x:row r="91" ht="15" hidden="0" customHeight="1">
      <x:c r="A91" s="24" t="str">
        <x:v>UMC_2025_total_assets</x:v>
      </x:c>
      <x:c r="B91" s="24" t="str">
        <x:v>聯華電子股份有限公司</x:v>
      </x:c>
      <x:c r="C91" s="24" t="str">
        <x:v>2303</x:v>
      </x:c>
      <x:c r="D91" s="24" t="n">
        <x:v>2025</x:v>
      </x:c>
      <x:c r="E91" s="24" t="n">
        <x:v>114</x:v>
      </x:c>
      <x:c r="F91" s="24" t="str">
        <x:v>簡明資產負債表</x:v>
      </x:c>
      <x:c r="G91" s="24" t="str">
        <x:v>total_assets</x:v>
      </x:c>
      <x:c r="H91" s="24" t="str">
        <x:v>資產總計</x:v>
      </x:c>
      <x:c r="I91" s="26" t="n">
        <x:v>578996009</x:v>
      </x:c>
      <x:c r="J91" s="24" t="str">
        <x:v>reported</x:v>
      </x:c>
      <x:c r="K91" s="24" t="str">
        <x:v>新臺幣仟元</x:v>
      </x:c>
      <x:c r="L91" s="24" t="str">
        <x:v>instant</x:v>
      </x:c>
      <x:c r="M91" s="24" t="str"/>
      <x:c r="N91" s="24" t="str">
        <x:v>2025-12-31</x:v>
      </x:c>
      <x:c r="O91" s="24" t="str">
        <x:v>使用者提供之聯電簡明財報截圖</x:v>
      </x:c>
    </x:row>
    <x:row r="92" ht="15" hidden="0" customHeight="1">
      <x:c r="A92" s="24" t="str">
        <x:v>UMC_2023_current_liabilities</x:v>
      </x:c>
      <x:c r="B92" s="24" t="str">
        <x:v>聯華電子股份有限公司</x:v>
      </x:c>
      <x:c r="C92" s="24" t="str">
        <x:v>2303</x:v>
      </x:c>
      <x:c r="D92" s="24" t="n">
        <x:v>2023</x:v>
      </x:c>
      <x:c r="E92" s="24" t="n">
        <x:v>112</x:v>
      </x:c>
      <x:c r="F92" s="24" t="str">
        <x:v>簡明資產負債表</x:v>
      </x:c>
      <x:c r="G92" s="24" t="str">
        <x:v>current_liabilities</x:v>
      </x:c>
      <x:c r="H92" s="24" t="str">
        <x:v>流動負債</x:v>
      </x:c>
      <x:c r="I92" s="26" t="n">
        <x:v>99014733</x:v>
      </x:c>
      <x:c r="J92" s="24" t="str">
        <x:v>reported</x:v>
      </x:c>
      <x:c r="K92" s="24" t="str">
        <x:v>新臺幣仟元</x:v>
      </x:c>
      <x:c r="L92" s="24" t="str">
        <x:v>instant</x:v>
      </x:c>
      <x:c r="M92" s="24" t="str"/>
      <x:c r="N92" s="24" t="str">
        <x:v>2023-12-31</x:v>
      </x:c>
      <x:c r="O92" s="24" t="str">
        <x:v>使用者提供之聯電簡明財報截圖</x:v>
      </x:c>
    </x:row>
    <x:row r="93" ht="15" hidden="0" customHeight="1">
      <x:c r="A93" s="24" t="str">
        <x:v>UMC_2024_current_liabilities</x:v>
      </x:c>
      <x:c r="B93" s="24" t="str">
        <x:v>聯華電子股份有限公司</x:v>
      </x:c>
      <x:c r="C93" s="24" t="str">
        <x:v>2303</x:v>
      </x:c>
      <x:c r="D93" s="24" t="n">
        <x:v>2024</x:v>
      </x:c>
      <x:c r="E93" s="24" t="n">
        <x:v>113</x:v>
      </x:c>
      <x:c r="F93" s="24" t="str">
        <x:v>簡明資產負債表</x:v>
      </x:c>
      <x:c r="G93" s="24" t="str">
        <x:v>current_liabilities</x:v>
      </x:c>
      <x:c r="H93" s="24" t="str">
        <x:v>流動負債</x:v>
      </x:c>
      <x:c r="I93" s="26" t="n">
        <x:v>75260189</x:v>
      </x:c>
      <x:c r="J93" s="24" t="str">
        <x:v>reported</x:v>
      </x:c>
      <x:c r="K93" s="24" t="str">
        <x:v>新臺幣仟元</x:v>
      </x:c>
      <x:c r="L93" s="24" t="str">
        <x:v>instant</x:v>
      </x:c>
      <x:c r="M93" s="24" t="str"/>
      <x:c r="N93" s="24" t="str">
        <x:v>2024-12-31</x:v>
      </x:c>
      <x:c r="O93" s="24" t="str">
        <x:v>使用者提供之聯電簡明財報截圖</x:v>
      </x:c>
    </x:row>
    <x:row r="94" ht="15" hidden="0" customHeight="1">
      <x:c r="A94" s="24" t="str">
        <x:v>UMC_2025_current_liabilities</x:v>
      </x:c>
      <x:c r="B94" s="24" t="str">
        <x:v>聯華電子股份有限公司</x:v>
      </x:c>
      <x:c r="C94" s="24" t="str">
        <x:v>2303</x:v>
      </x:c>
      <x:c r="D94" s="24" t="n">
        <x:v>2025</x:v>
      </x:c>
      <x:c r="E94" s="24" t="n">
        <x:v>114</x:v>
      </x:c>
      <x:c r="F94" s="24" t="str">
        <x:v>簡明資產負債表</x:v>
      </x:c>
      <x:c r="G94" s="24" t="str">
        <x:v>current_liabilities</x:v>
      </x:c>
      <x:c r="H94" s="24" t="str">
        <x:v>流動負債</x:v>
      </x:c>
      <x:c r="I94" s="26" t="n">
        <x:v>87598137</x:v>
      </x:c>
      <x:c r="J94" s="24" t="str">
        <x:v>reported</x:v>
      </x:c>
      <x:c r="K94" s="24" t="str">
        <x:v>新臺幣仟元</x:v>
      </x:c>
      <x:c r="L94" s="24" t="str">
        <x:v>instant</x:v>
      </x:c>
      <x:c r="M94" s="24" t="str"/>
      <x:c r="N94" s="24" t="str">
        <x:v>2025-12-31</x:v>
      </x:c>
      <x:c r="O94" s="24" t="str">
        <x:v>使用者提供之聯電簡明財報截圖</x:v>
      </x:c>
    </x:row>
    <x:row r="95" ht="15" hidden="0" customHeight="1">
      <x:c r="A95" s="24" t="str">
        <x:v>UMC_2023_non_current_liabilities</x:v>
      </x:c>
      <x:c r="B95" s="24" t="str">
        <x:v>聯華電子股份有限公司</x:v>
      </x:c>
      <x:c r="C95" s="24" t="str">
        <x:v>2303</x:v>
      </x:c>
      <x:c r="D95" s="24" t="n">
        <x:v>2023</x:v>
      </x:c>
      <x:c r="E95" s="24" t="n">
        <x:v>112</x:v>
      </x:c>
      <x:c r="F95" s="24" t="str">
        <x:v>簡明資產負債表</x:v>
      </x:c>
      <x:c r="G95" s="24" t="str">
        <x:v>non_current_liabilities</x:v>
      </x:c>
      <x:c r="H95" s="24" t="str">
        <x:v>非流動負債</x:v>
      </x:c>
      <x:c r="I95" s="26" t="n">
        <x:v>100593622</x:v>
      </x:c>
      <x:c r="J95" s="24" t="str">
        <x:v>reported</x:v>
      </x:c>
      <x:c r="K95" s="24" t="str">
        <x:v>新臺幣仟元</x:v>
      </x:c>
      <x:c r="L95" s="24" t="str">
        <x:v>instant</x:v>
      </x:c>
      <x:c r="M95" s="24" t="str"/>
      <x:c r="N95" s="24" t="str">
        <x:v>2023-12-31</x:v>
      </x:c>
      <x:c r="O95" s="24" t="str">
        <x:v>使用者提供之聯電簡明財報截圖</x:v>
      </x:c>
    </x:row>
    <x:row r="96" ht="15" hidden="0" customHeight="1">
      <x:c r="A96" s="24" t="str">
        <x:v>UMC_2024_non_current_liabilities</x:v>
      </x:c>
      <x:c r="B96" s="24" t="str">
        <x:v>聯華電子股份有限公司</x:v>
      </x:c>
      <x:c r="C96" s="24" t="str">
        <x:v>2303</x:v>
      </x:c>
      <x:c r="D96" s="24" t="n">
        <x:v>2024</x:v>
      </x:c>
      <x:c r="E96" s="24" t="n">
        <x:v>113</x:v>
      </x:c>
      <x:c r="F96" s="24" t="str">
        <x:v>簡明資產負債表</x:v>
      </x:c>
      <x:c r="G96" s="24" t="str">
        <x:v>non_current_liabilities</x:v>
      </x:c>
      <x:c r="H96" s="24" t="str">
        <x:v>非流動負債</x:v>
      </x:c>
      <x:c r="I96" s="26" t="n">
        <x:v>116755484</x:v>
      </x:c>
      <x:c r="J96" s="24" t="str">
        <x:v>reported</x:v>
      </x:c>
      <x:c r="K96" s="24" t="str">
        <x:v>新臺幣仟元</x:v>
      </x:c>
      <x:c r="L96" s="24" t="str">
        <x:v>instant</x:v>
      </x:c>
      <x:c r="M96" s="24" t="str"/>
      <x:c r="N96" s="24" t="str">
        <x:v>2024-12-31</x:v>
      </x:c>
      <x:c r="O96" s="24" t="str">
        <x:v>使用者提供之聯電簡明財報截圖</x:v>
      </x:c>
    </x:row>
    <x:row r="97" ht="15" hidden="0" customHeight="1">
      <x:c r="A97" s="24" t="str">
        <x:v>UMC_2025_non_current_liabilities</x:v>
      </x:c>
      <x:c r="B97" s="24" t="str">
        <x:v>聯華電子股份有限公司</x:v>
      </x:c>
      <x:c r="C97" s="24" t="str">
        <x:v>2303</x:v>
      </x:c>
      <x:c r="D97" s="24" t="n">
        <x:v>2025</x:v>
      </x:c>
      <x:c r="E97" s="24" t="n">
        <x:v>114</x:v>
      </x:c>
      <x:c r="F97" s="24" t="str">
        <x:v>簡明資產負債表</x:v>
      </x:c>
      <x:c r="G97" s="24" t="str">
        <x:v>non_current_liabilities</x:v>
      </x:c>
      <x:c r="H97" s="24" t="str">
        <x:v>非流動負債</x:v>
      </x:c>
      <x:c r="I97" s="26" t="n">
        <x:v>111542432</x:v>
      </x:c>
      <x:c r="J97" s="24" t="str">
        <x:v>reported</x:v>
      </x:c>
      <x:c r="K97" s="24" t="str">
        <x:v>新臺幣仟元</x:v>
      </x:c>
      <x:c r="L97" s="24" t="str">
        <x:v>instant</x:v>
      </x:c>
      <x:c r="M97" s="24" t="str"/>
      <x:c r="N97" s="24" t="str">
        <x:v>2025-12-31</x:v>
      </x:c>
      <x:c r="O97" s="24" t="str">
        <x:v>使用者提供之聯電簡明財報截圖</x:v>
      </x:c>
    </x:row>
    <x:row r="98" ht="15" hidden="0" customHeight="1">
      <x:c r="A98" s="24" t="str">
        <x:v>UMC_2023_total_liabilities</x:v>
      </x:c>
      <x:c r="B98" s="24" t="str">
        <x:v>聯華電子股份有限公司</x:v>
      </x:c>
      <x:c r="C98" s="24" t="str">
        <x:v>2303</x:v>
      </x:c>
      <x:c r="D98" s="24" t="n">
        <x:v>2023</x:v>
      </x:c>
      <x:c r="E98" s="24" t="n">
        <x:v>112</x:v>
      </x:c>
      <x:c r="F98" s="24" t="str">
        <x:v>簡明資產負債表</x:v>
      </x:c>
      <x:c r="G98" s="24" t="str">
        <x:v>total_liabilities</x:v>
      </x:c>
      <x:c r="H98" s="24" t="str">
        <x:v>負債總計</x:v>
      </x:c>
      <x:c r="I98" s="26" t="n">
        <x:v>199608355</x:v>
      </x:c>
      <x:c r="J98" s="24" t="str">
        <x:v>reported</x:v>
      </x:c>
      <x:c r="K98" s="24" t="str">
        <x:v>新臺幣仟元</x:v>
      </x:c>
      <x:c r="L98" s="24" t="str">
        <x:v>instant</x:v>
      </x:c>
      <x:c r="M98" s="24" t="str"/>
      <x:c r="N98" s="24" t="str">
        <x:v>2023-12-31</x:v>
      </x:c>
      <x:c r="O98" s="24" t="str">
        <x:v>使用者提供之聯電簡明財報截圖</x:v>
      </x:c>
    </x:row>
    <x:row r="99" ht="15" hidden="0" customHeight="1">
      <x:c r="A99" s="24" t="str">
        <x:v>UMC_2024_total_liabilities</x:v>
      </x:c>
      <x:c r="B99" s="24" t="str">
        <x:v>聯華電子股份有限公司</x:v>
      </x:c>
      <x:c r="C99" s="24" t="str">
        <x:v>2303</x:v>
      </x:c>
      <x:c r="D99" s="24" t="n">
        <x:v>2024</x:v>
      </x:c>
      <x:c r="E99" s="24" t="n">
        <x:v>113</x:v>
      </x:c>
      <x:c r="F99" s="24" t="str">
        <x:v>簡明資產負債表</x:v>
      </x:c>
      <x:c r="G99" s="24" t="str">
        <x:v>total_liabilities</x:v>
      </x:c>
      <x:c r="H99" s="24" t="str">
        <x:v>負債總計</x:v>
      </x:c>
      <x:c r="I99" s="26" t="n">
        <x:v>192015673</x:v>
      </x:c>
      <x:c r="J99" s="24" t="str">
        <x:v>reported</x:v>
      </x:c>
      <x:c r="K99" s="24" t="str">
        <x:v>新臺幣仟元</x:v>
      </x:c>
      <x:c r="L99" s="24" t="str">
        <x:v>instant</x:v>
      </x:c>
      <x:c r="M99" s="24" t="str"/>
      <x:c r="N99" s="24" t="str">
        <x:v>2024-12-31</x:v>
      </x:c>
      <x:c r="O99" s="24" t="str">
        <x:v>使用者提供之聯電簡明財報截圖</x:v>
      </x:c>
    </x:row>
    <x:row r="100" ht="15" hidden="0" customHeight="1">
      <x:c r="A100" s="24" t="str">
        <x:v>UMC_2025_total_liabilities</x:v>
      </x:c>
      <x:c r="B100" s="24" t="str">
        <x:v>聯華電子股份有限公司</x:v>
      </x:c>
      <x:c r="C100" s="24" t="str">
        <x:v>2303</x:v>
      </x:c>
      <x:c r="D100" s="24" t="n">
        <x:v>2025</x:v>
      </x:c>
      <x:c r="E100" s="24" t="n">
        <x:v>114</x:v>
      </x:c>
      <x:c r="F100" s="24" t="str">
        <x:v>簡明資產負債表</x:v>
      </x:c>
      <x:c r="G100" s="24" t="str">
        <x:v>total_liabilities</x:v>
      </x:c>
      <x:c r="H100" s="24" t="str">
        <x:v>負債總計</x:v>
      </x:c>
      <x:c r="I100" s="26" t="n">
        <x:v>199140569</x:v>
      </x:c>
      <x:c r="J100" s="24" t="str">
        <x:v>reported</x:v>
      </x:c>
      <x:c r="K100" s="24" t="str">
        <x:v>新臺幣仟元</x:v>
      </x:c>
      <x:c r="L100" s="24" t="str">
        <x:v>instant</x:v>
      </x:c>
      <x:c r="M100" s="24" t="str"/>
      <x:c r="N100" s="24" t="str">
        <x:v>2025-12-31</x:v>
      </x:c>
      <x:c r="O100" s="24" t="str">
        <x:v>使用者提供之聯電簡明財報截圖</x:v>
      </x:c>
    </x:row>
    <x:row r="101" ht="15" hidden="0" customHeight="1">
      <x:c r="A101" s="24" t="str">
        <x:v>UMC_2023_share_capital</x:v>
      </x:c>
      <x:c r="B101" s="24" t="str">
        <x:v>聯華電子股份有限公司</x:v>
      </x:c>
      <x:c r="C101" s="24" t="str">
        <x:v>2303</x:v>
      </x:c>
      <x:c r="D101" s="24" t="n">
        <x:v>2023</x:v>
      </x:c>
      <x:c r="E101" s="24" t="n">
        <x:v>112</x:v>
      </x:c>
      <x:c r="F101" s="24" t="str">
        <x:v>簡明資產負債表</x:v>
      </x:c>
      <x:c r="G101" s="24" t="str">
        <x:v>share_capital</x:v>
      </x:c>
      <x:c r="H101" s="24" t="str">
        <x:v>股本</x:v>
      </x:c>
      <x:c r="I101" s="26" t="n">
        <x:v>125298222</x:v>
      </x:c>
      <x:c r="J101" s="24" t="str">
        <x:v>reported</x:v>
      </x:c>
      <x:c r="K101" s="24" t="str">
        <x:v>新臺幣仟元</x:v>
      </x:c>
      <x:c r="L101" s="24" t="str">
        <x:v>instant</x:v>
      </x:c>
      <x:c r="M101" s="24" t="str"/>
      <x:c r="N101" s="24" t="str">
        <x:v>2023-12-31</x:v>
      </x:c>
      <x:c r="O101" s="24" t="str">
        <x:v>使用者提供之聯電簡明財報截圖</x:v>
      </x:c>
    </x:row>
    <x:row r="102" ht="15" hidden="0" customHeight="1">
      <x:c r="A102" s="24" t="str">
        <x:v>UMC_2024_share_capital</x:v>
      </x:c>
      <x:c r="B102" s="24" t="str">
        <x:v>聯華電子股份有限公司</x:v>
      </x:c>
      <x:c r="C102" s="24" t="str">
        <x:v>2303</x:v>
      </x:c>
      <x:c r="D102" s="24" t="n">
        <x:v>2024</x:v>
      </x:c>
      <x:c r="E102" s="24" t="n">
        <x:v>113</x:v>
      </x:c>
      <x:c r="F102" s="24" t="str">
        <x:v>簡明資產負債表</x:v>
      </x:c>
      <x:c r="G102" s="24" t="str">
        <x:v>share_capital</x:v>
      </x:c>
      <x:c r="H102" s="24" t="str">
        <x:v>股本</x:v>
      </x:c>
      <x:c r="I102" s="26" t="n">
        <x:v>125607164</x:v>
      </x:c>
      <x:c r="J102" s="24" t="str">
        <x:v>reported</x:v>
      </x:c>
      <x:c r="K102" s="24" t="str">
        <x:v>新臺幣仟元</x:v>
      </x:c>
      <x:c r="L102" s="24" t="str">
        <x:v>instant</x:v>
      </x:c>
      <x:c r="M102" s="24" t="str"/>
      <x:c r="N102" s="24" t="str">
        <x:v>2024-12-31</x:v>
      </x:c>
      <x:c r="O102" s="24" t="str">
        <x:v>使用者提供之聯電簡明財報截圖</x:v>
      </x:c>
    </x:row>
    <x:row r="103" ht="15" hidden="0" customHeight="1">
      <x:c r="A103" s="24" t="str">
        <x:v>UMC_2025_share_capital</x:v>
      </x:c>
      <x:c r="B103" s="24" t="str">
        <x:v>聯華電子股份有限公司</x:v>
      </x:c>
      <x:c r="C103" s="24" t="str">
        <x:v>2303</x:v>
      </x:c>
      <x:c r="D103" s="24" t="n">
        <x:v>2025</x:v>
      </x:c>
      <x:c r="E103" s="24" t="n">
        <x:v>114</x:v>
      </x:c>
      <x:c r="F103" s="24" t="str">
        <x:v>簡明資產負債表</x:v>
      </x:c>
      <x:c r="G103" s="24" t="str">
        <x:v>share_capital</x:v>
      </x:c>
      <x:c r="H103" s="24" t="str">
        <x:v>股本</x:v>
      </x:c>
      <x:c r="I103" s="26" t="n">
        <x:v>125881563</x:v>
      </x:c>
      <x:c r="J103" s="24" t="str">
        <x:v>reported</x:v>
      </x:c>
      <x:c r="K103" s="24" t="str">
        <x:v>新臺幣仟元</x:v>
      </x:c>
      <x:c r="L103" s="24" t="str">
        <x:v>instant</x:v>
      </x:c>
      <x:c r="M103" s="24" t="str"/>
      <x:c r="N103" s="24" t="str">
        <x:v>2025-12-31</x:v>
      </x:c>
      <x:c r="O103" s="24" t="str">
        <x:v>使用者提供之聯電簡明財報截圖</x:v>
      </x:c>
    </x:row>
    <x:row r="104" ht="15" hidden="0" customHeight="1">
      <x:c r="A104" s="24" t="str">
        <x:v>UMC_2023_virtual_currency_equity</x:v>
      </x:c>
      <x:c r="B104" s="24" t="str">
        <x:v>聯華電子股份有限公司</x:v>
      </x:c>
      <x:c r="C104" s="24" t="str">
        <x:v>2303</x:v>
      </x:c>
      <x:c r="D104" s="24" t="n">
        <x:v>2023</x:v>
      </x:c>
      <x:c r="E104" s="24" t="n">
        <x:v>112</x:v>
      </x:c>
      <x:c r="F104" s="24" t="str">
        <x:v>簡明資產負債表</x:v>
      </x:c>
      <x:c r="G104" s="24" t="str">
        <x:v>virtual_currency_equity</x:v>
      </x:c>
      <x:c r="H104" s="24" t="str">
        <x:v>權益－具證券性質之虛擬通貨</x:v>
      </x:c>
      <x:c r="I104" s="26"/>
      <x:c r="J104" s="24" t="str">
        <x:v>not_reported</x:v>
      </x:c>
      <x:c r="K104" s="24" t="str">
        <x:v>新臺幣仟元</x:v>
      </x:c>
      <x:c r="L104" s="24" t="str">
        <x:v>instant</x:v>
      </x:c>
      <x:c r="M104" s="24" t="str"/>
      <x:c r="N104" s="24" t="str">
        <x:v>2023-12-31</x:v>
      </x:c>
      <x:c r="O104" s="24" t="str">
        <x:v>使用者提供之聯電簡明財報截圖</x:v>
      </x:c>
    </x:row>
    <x:row r="105" ht="15" hidden="0" customHeight="1">
      <x:c r="A105" s="24" t="str">
        <x:v>UMC_2024_virtual_currency_equity</x:v>
      </x:c>
      <x:c r="B105" s="24" t="str">
        <x:v>聯華電子股份有限公司</x:v>
      </x:c>
      <x:c r="C105" s="24" t="str">
        <x:v>2303</x:v>
      </x:c>
      <x:c r="D105" s="24" t="n">
        <x:v>2024</x:v>
      </x:c>
      <x:c r="E105" s="24" t="n">
        <x:v>113</x:v>
      </x:c>
      <x:c r="F105" s="24" t="str">
        <x:v>簡明資產負債表</x:v>
      </x:c>
      <x:c r="G105" s="24" t="str">
        <x:v>virtual_currency_equity</x:v>
      </x:c>
      <x:c r="H105" s="24" t="str">
        <x:v>權益－具證券性質之虛擬通貨</x:v>
      </x:c>
      <x:c r="I105" s="26"/>
      <x:c r="J105" s="24" t="str">
        <x:v>not_reported</x:v>
      </x:c>
      <x:c r="K105" s="24" t="str">
        <x:v>新臺幣仟元</x:v>
      </x:c>
      <x:c r="L105" s="24" t="str">
        <x:v>instant</x:v>
      </x:c>
      <x:c r="M105" s="24" t="str"/>
      <x:c r="N105" s="24" t="str">
        <x:v>2024-12-31</x:v>
      </x:c>
      <x:c r="O105" s="24" t="str">
        <x:v>使用者提供之聯電簡明財報截圖</x:v>
      </x:c>
    </x:row>
    <x:row r="106" ht="15" hidden="0" customHeight="1">
      <x:c r="A106" s="24" t="str">
        <x:v>UMC_2025_virtual_currency_equity</x:v>
      </x:c>
      <x:c r="B106" s="24" t="str">
        <x:v>聯華電子股份有限公司</x:v>
      </x:c>
      <x:c r="C106" s="24" t="str">
        <x:v>2303</x:v>
      </x:c>
      <x:c r="D106" s="24" t="n">
        <x:v>2025</x:v>
      </x:c>
      <x:c r="E106" s="24" t="n">
        <x:v>114</x:v>
      </x:c>
      <x:c r="F106" s="24" t="str">
        <x:v>簡明資產負債表</x:v>
      </x:c>
      <x:c r="G106" s="24" t="str">
        <x:v>virtual_currency_equity</x:v>
      </x:c>
      <x:c r="H106" s="24" t="str">
        <x:v>權益－具證券性質之虛擬通貨</x:v>
      </x:c>
      <x:c r="I106" s="26"/>
      <x:c r="J106" s="24" t="str">
        <x:v>not_reported</x:v>
      </x:c>
      <x:c r="K106" s="24" t="str">
        <x:v>新臺幣仟元</x:v>
      </x:c>
      <x:c r="L106" s="24" t="str">
        <x:v>instant</x:v>
      </x:c>
      <x:c r="M106" s="24" t="str"/>
      <x:c r="N106" s="24" t="str">
        <x:v>2025-12-31</x:v>
      </x:c>
      <x:c r="O106" s="24" t="str">
        <x:v>使用者提供之聯電簡明財報截圖</x:v>
      </x:c>
    </x:row>
    <x:row r="107" ht="15" hidden="0" customHeight="1">
      <x:c r="A107" s="24" t="str">
        <x:v>UMC_2023_capital_surplus</x:v>
      </x:c>
      <x:c r="B107" s="24" t="str">
        <x:v>聯華電子股份有限公司</x:v>
      </x:c>
      <x:c r="C107" s="24" t="str">
        <x:v>2303</x:v>
      </x:c>
      <x:c r="D107" s="24" t="n">
        <x:v>2023</x:v>
      </x:c>
      <x:c r="E107" s="24" t="n">
        <x:v>112</x:v>
      </x:c>
      <x:c r="F107" s="24" t="str">
        <x:v>簡明資產負債表</x:v>
      </x:c>
      <x:c r="G107" s="24" t="str">
        <x:v>capital_surplus</x:v>
      </x:c>
      <x:c r="H107" s="24" t="str">
        <x:v>資本公積</x:v>
      </x:c>
      <x:c r="I107" s="26" t="n">
        <x:v>14324773</x:v>
      </x:c>
      <x:c r="J107" s="24" t="str">
        <x:v>reported</x:v>
      </x:c>
      <x:c r="K107" s="24" t="str">
        <x:v>新臺幣仟元</x:v>
      </x:c>
      <x:c r="L107" s="24" t="str">
        <x:v>instant</x:v>
      </x:c>
      <x:c r="M107" s="24" t="str"/>
      <x:c r="N107" s="24" t="str">
        <x:v>2023-12-31</x:v>
      </x:c>
      <x:c r="O107" s="24" t="str">
        <x:v>使用者提供之聯電簡明財報截圖</x:v>
      </x:c>
    </x:row>
    <x:row r="108" ht="15" hidden="0" customHeight="1">
      <x:c r="A108" s="24" t="str">
        <x:v>UMC_2024_capital_surplus</x:v>
      </x:c>
      <x:c r="B108" s="24" t="str">
        <x:v>聯華電子股份有限公司</x:v>
      </x:c>
      <x:c r="C108" s="24" t="str">
        <x:v>2303</x:v>
      </x:c>
      <x:c r="D108" s="24" t="n">
        <x:v>2024</x:v>
      </x:c>
      <x:c r="E108" s="24" t="n">
        <x:v>113</x:v>
      </x:c>
      <x:c r="F108" s="24" t="str">
        <x:v>簡明資產負債表</x:v>
      </x:c>
      <x:c r="G108" s="24" t="str">
        <x:v>capital_surplus</x:v>
      </x:c>
      <x:c r="H108" s="24" t="str">
        <x:v>資本公積</x:v>
      </x:c>
      <x:c r="I108" s="26" t="n">
        <x:v>14782476</x:v>
      </x:c>
      <x:c r="J108" s="24" t="str">
        <x:v>reported</x:v>
      </x:c>
      <x:c r="K108" s="24" t="str">
        <x:v>新臺幣仟元</x:v>
      </x:c>
      <x:c r="L108" s="24" t="str">
        <x:v>instant</x:v>
      </x:c>
      <x:c r="M108" s="24" t="str"/>
      <x:c r="N108" s="24" t="str">
        <x:v>2024-12-31</x:v>
      </x:c>
      <x:c r="O108" s="24" t="str">
        <x:v>使用者提供之聯電簡明財報截圖</x:v>
      </x:c>
    </x:row>
    <x:row r="109" ht="15" hidden="0" customHeight="1">
      <x:c r="A109" s="24" t="str">
        <x:v>UMC_2025_capital_surplus</x:v>
      </x:c>
      <x:c r="B109" s="24" t="str">
        <x:v>聯華電子股份有限公司</x:v>
      </x:c>
      <x:c r="C109" s="24" t="str">
        <x:v>2303</x:v>
      </x:c>
      <x:c r="D109" s="24" t="n">
        <x:v>2025</x:v>
      </x:c>
      <x:c r="E109" s="24" t="n">
        <x:v>114</x:v>
      </x:c>
      <x:c r="F109" s="24" t="str">
        <x:v>簡明資產負債表</x:v>
      </x:c>
      <x:c r="G109" s="24" t="str">
        <x:v>capital_surplus</x:v>
      </x:c>
      <x:c r="H109" s="24" t="str">
        <x:v>資本公積</x:v>
      </x:c>
      <x:c r="I109" s="26" t="n">
        <x:v>15409600</x:v>
      </x:c>
      <x:c r="J109" s="24" t="str">
        <x:v>reported</x:v>
      </x:c>
      <x:c r="K109" s="24" t="str">
        <x:v>新臺幣仟元</x:v>
      </x:c>
      <x:c r="L109" s="24" t="str">
        <x:v>instant</x:v>
      </x:c>
      <x:c r="M109" s="24" t="str"/>
      <x:c r="N109" s="24" t="str">
        <x:v>2025-12-31</x:v>
      </x:c>
      <x:c r="O109" s="24" t="str">
        <x:v>使用者提供之聯電簡明財報截圖</x:v>
      </x:c>
    </x:row>
    <x:row r="110" ht="15" hidden="0" customHeight="1">
      <x:c r="A110" s="24" t="str">
        <x:v>UMC_2023_retained_earnings</x:v>
      </x:c>
      <x:c r="B110" s="24" t="str">
        <x:v>聯華電子股份有限公司</x:v>
      </x:c>
      <x:c r="C110" s="24" t="str">
        <x:v>2303</x:v>
      </x:c>
      <x:c r="D110" s="24" t="n">
        <x:v>2023</x:v>
      </x:c>
      <x:c r="E110" s="24" t="n">
        <x:v>112</x:v>
      </x:c>
      <x:c r="F110" s="24" t="str">
        <x:v>簡明資產負債表</x:v>
      </x:c>
      <x:c r="G110" s="24" t="str">
        <x:v>retained_earnings</x:v>
      </x:c>
      <x:c r="H110" s="24" t="str">
        <x:v>保留盈餘</x:v>
      </x:c>
      <x:c r="I110" s="26" t="n">
        <x:v>217053235</x:v>
      </x:c>
      <x:c r="J110" s="24" t="str">
        <x:v>reported</x:v>
      </x:c>
      <x:c r="K110" s="24" t="str">
        <x:v>新臺幣仟元</x:v>
      </x:c>
      <x:c r="L110" s="24" t="str">
        <x:v>instant</x:v>
      </x:c>
      <x:c r="M110" s="24" t="str"/>
      <x:c r="N110" s="24" t="str">
        <x:v>2023-12-31</x:v>
      </x:c>
      <x:c r="O110" s="24" t="str">
        <x:v>使用者提供之聯電簡明財報截圖</x:v>
      </x:c>
    </x:row>
    <x:row r="111" ht="15" hidden="0" customHeight="1">
      <x:c r="A111" s="24" t="str">
        <x:v>UMC_2024_retained_earnings</x:v>
      </x:c>
      <x:c r="B111" s="24" t="str">
        <x:v>聯華電子股份有限公司</x:v>
      </x:c>
      <x:c r="C111" s="24" t="str">
        <x:v>2303</x:v>
      </x:c>
      <x:c r="D111" s="24" t="n">
        <x:v>2024</x:v>
      </x:c>
      <x:c r="E111" s="24" t="n">
        <x:v>113</x:v>
      </x:c>
      <x:c r="F111" s="24" t="str">
        <x:v>簡明資產負債表</x:v>
      </x:c>
      <x:c r="G111" s="24" t="str">
        <x:v>retained_earnings</x:v>
      </x:c>
      <x:c r="H111" s="24" t="str">
        <x:v>保留盈餘</x:v>
      </x:c>
      <x:c r="I111" s="26" t="n">
        <x:v>226848505</x:v>
      </x:c>
      <x:c r="J111" s="24" t="str">
        <x:v>reported</x:v>
      </x:c>
      <x:c r="K111" s="24" t="str">
        <x:v>新臺幣仟元</x:v>
      </x:c>
      <x:c r="L111" s="24" t="str">
        <x:v>instant</x:v>
      </x:c>
      <x:c r="M111" s="24" t="str"/>
      <x:c r="N111" s="24" t="str">
        <x:v>2024-12-31</x:v>
      </x:c>
      <x:c r="O111" s="24" t="str">
        <x:v>使用者提供之聯電簡明財報截圖</x:v>
      </x:c>
    </x:row>
    <x:row r="112" ht="15" hidden="0" customHeight="1">
      <x:c r="A112" s="24" t="str">
        <x:v>UMC_2025_retained_earnings</x:v>
      </x:c>
      <x:c r="B112" s="24" t="str">
        <x:v>聯華電子股份有限公司</x:v>
      </x:c>
      <x:c r="C112" s="24" t="str">
        <x:v>2303</x:v>
      </x:c>
      <x:c r="D112" s="24" t="n">
        <x:v>2025</x:v>
      </x:c>
      <x:c r="E112" s="24" t="n">
        <x:v>114</x:v>
      </x:c>
      <x:c r="F112" s="24" t="str">
        <x:v>簡明資產負債表</x:v>
      </x:c>
      <x:c r="G112" s="24" t="str">
        <x:v>retained_earnings</x:v>
      </x:c>
      <x:c r="H112" s="24" t="str">
        <x:v>保留盈餘</x:v>
      </x:c>
      <x:c r="I112" s="26" t="n">
        <x:v>232882973</x:v>
      </x:c>
      <x:c r="J112" s="24" t="str">
        <x:v>reported</x:v>
      </x:c>
      <x:c r="K112" s="24" t="str">
        <x:v>新臺幣仟元</x:v>
      </x:c>
      <x:c r="L112" s="24" t="str">
        <x:v>instant</x:v>
      </x:c>
      <x:c r="M112" s="24" t="str"/>
      <x:c r="N112" s="24" t="str">
        <x:v>2025-12-31</x:v>
      </x:c>
      <x:c r="O112" s="24" t="str">
        <x:v>使用者提供之聯電簡明財報截圖</x:v>
      </x:c>
    </x:row>
    <x:row r="113" ht="15" hidden="0" customHeight="1">
      <x:c r="A113" s="24" t="str">
        <x:v>UMC_2023_other_equity</x:v>
      </x:c>
      <x:c r="B113" s="24" t="str">
        <x:v>聯華電子股份有限公司</x:v>
      </x:c>
      <x:c r="C113" s="24" t="str">
        <x:v>2303</x:v>
      </x:c>
      <x:c r="D113" s="24" t="n">
        <x:v>2023</x:v>
      </x:c>
      <x:c r="E113" s="24" t="n">
        <x:v>112</x:v>
      </x:c>
      <x:c r="F113" s="24" t="str">
        <x:v>簡明資產負債表</x:v>
      </x:c>
      <x:c r="G113" s="24" t="str">
        <x:v>other_equity</x:v>
      </x:c>
      <x:c r="H113" s="24" t="str">
        <x:v>其他權益</x:v>
      </x:c>
      <x:c r="I113" s="26" t="n">
        <x:v>2561483</x:v>
      </x:c>
      <x:c r="J113" s="24" t="str">
        <x:v>reported</x:v>
      </x:c>
      <x:c r="K113" s="24" t="str">
        <x:v>新臺幣仟元</x:v>
      </x:c>
      <x:c r="L113" s="24" t="str">
        <x:v>instant</x:v>
      </x:c>
      <x:c r="M113" s="24" t="str"/>
      <x:c r="N113" s="24" t="str">
        <x:v>2023-12-31</x:v>
      </x:c>
      <x:c r="O113" s="24" t="str">
        <x:v>使用者提供之聯電簡明財報截圖</x:v>
      </x:c>
    </x:row>
    <x:row r="114" ht="15" hidden="0" customHeight="1">
      <x:c r="A114" s="24" t="str">
        <x:v>UMC_2024_other_equity</x:v>
      </x:c>
      <x:c r="B114" s="24" t="str">
        <x:v>聯華電子股份有限公司</x:v>
      </x:c>
      <x:c r="C114" s="24" t="str">
        <x:v>2303</x:v>
      </x:c>
      <x:c r="D114" s="24" t="n">
        <x:v>2024</x:v>
      </x:c>
      <x:c r="E114" s="24" t="n">
        <x:v>113</x:v>
      </x:c>
      <x:c r="F114" s="24" t="str">
        <x:v>簡明資產負債表</x:v>
      </x:c>
      <x:c r="G114" s="24" t="str">
        <x:v>other_equity</x:v>
      </x:c>
      <x:c r="H114" s="24" t="str">
        <x:v>其他權益</x:v>
      </x:c>
      <x:c r="I114" s="26" t="n">
        <x:v>10690246</x:v>
      </x:c>
      <x:c r="J114" s="24" t="str">
        <x:v>reported</x:v>
      </x:c>
      <x:c r="K114" s="24" t="str">
        <x:v>新臺幣仟元</x:v>
      </x:c>
      <x:c r="L114" s="24" t="str">
        <x:v>instant</x:v>
      </x:c>
      <x:c r="M114" s="24" t="str"/>
      <x:c r="N114" s="24" t="str">
        <x:v>2024-12-31</x:v>
      </x:c>
      <x:c r="O114" s="24" t="str">
        <x:v>使用者提供之聯電簡明財報截圖</x:v>
      </x:c>
    </x:row>
    <x:row r="115" ht="15" hidden="0" customHeight="1">
      <x:c r="A115" s="24" t="str">
        <x:v>UMC_2025_other_equity</x:v>
      </x:c>
      <x:c r="B115" s="24" t="str">
        <x:v>聯華電子股份有限公司</x:v>
      </x:c>
      <x:c r="C115" s="24" t="str">
        <x:v>2303</x:v>
      </x:c>
      <x:c r="D115" s="24" t="n">
        <x:v>2025</x:v>
      </x:c>
      <x:c r="E115" s="24" t="n">
        <x:v>114</x:v>
      </x:c>
      <x:c r="F115" s="24" t="str">
        <x:v>簡明資產負債表</x:v>
      </x:c>
      <x:c r="G115" s="24" t="str">
        <x:v>other_equity</x:v>
      </x:c>
      <x:c r="H115" s="24" t="str">
        <x:v>其他權益</x:v>
      </x:c>
      <x:c r="I115" s="26" t="n">
        <x:v>5594129</x:v>
      </x:c>
      <x:c r="J115" s="24" t="str">
        <x:v>reported</x:v>
      </x:c>
      <x:c r="K115" s="24" t="str">
        <x:v>新臺幣仟元</x:v>
      </x:c>
      <x:c r="L115" s="24" t="str">
        <x:v>instant</x:v>
      </x:c>
      <x:c r="M115" s="24" t="str"/>
      <x:c r="N115" s="24" t="str">
        <x:v>2025-12-31</x:v>
      </x:c>
      <x:c r="O115" s="24" t="str">
        <x:v>使用者提供之聯電簡明財報截圖</x:v>
      </x:c>
    </x:row>
    <x:row r="116" ht="15" hidden="0" customHeight="1">
      <x:c r="A116" s="24" t="str">
        <x:v>UMC_2023_treasury_shares</x:v>
      </x:c>
      <x:c r="B116" s="24" t="str">
        <x:v>聯華電子股份有限公司</x:v>
      </x:c>
      <x:c r="C116" s="24" t="str">
        <x:v>2303</x:v>
      </x:c>
      <x:c r="D116" s="24" t="n">
        <x:v>2023</x:v>
      </x:c>
      <x:c r="E116" s="24" t="n">
        <x:v>112</x:v>
      </x:c>
      <x:c r="F116" s="24" t="str">
        <x:v>簡明資產負債表</x:v>
      </x:c>
      <x:c r="G116" s="24" t="str">
        <x:v>treasury_shares</x:v>
      </x:c>
      <x:c r="H116" s="24" t="str">
        <x:v>庫藏股票</x:v>
      </x:c>
      <x:c r="I116" s="26"/>
      <x:c r="J116" s="24" t="str">
        <x:v>not_reported</x:v>
      </x:c>
      <x:c r="K116" s="24" t="str">
        <x:v>新臺幣仟元</x:v>
      </x:c>
      <x:c r="L116" s="24" t="str">
        <x:v>instant</x:v>
      </x:c>
      <x:c r="M116" s="24" t="str"/>
      <x:c r="N116" s="24" t="str">
        <x:v>2023-12-31</x:v>
      </x:c>
      <x:c r="O116" s="24" t="str">
        <x:v>使用者提供之聯電簡明財報截圖</x:v>
      </x:c>
    </x:row>
    <x:row r="117" ht="15" hidden="0" customHeight="1">
      <x:c r="A117" s="24" t="str">
        <x:v>UMC_2024_treasury_shares</x:v>
      </x:c>
      <x:c r="B117" s="24" t="str">
        <x:v>聯華電子股份有限公司</x:v>
      </x:c>
      <x:c r="C117" s="24" t="str">
        <x:v>2303</x:v>
      </x:c>
      <x:c r="D117" s="24" t="n">
        <x:v>2024</x:v>
      </x:c>
      <x:c r="E117" s="24" t="n">
        <x:v>113</x:v>
      </x:c>
      <x:c r="F117" s="24" t="str">
        <x:v>簡明資產負債表</x:v>
      </x:c>
      <x:c r="G117" s="24" t="str">
        <x:v>treasury_shares</x:v>
      </x:c>
      <x:c r="H117" s="24" t="str">
        <x:v>庫藏股票</x:v>
      </x:c>
      <x:c r="I117" s="26"/>
      <x:c r="J117" s="24" t="str">
        <x:v>not_reported</x:v>
      </x:c>
      <x:c r="K117" s="24" t="str">
        <x:v>新臺幣仟元</x:v>
      </x:c>
      <x:c r="L117" s="24" t="str">
        <x:v>instant</x:v>
      </x:c>
      <x:c r="M117" s="24" t="str"/>
      <x:c r="N117" s="24" t="str">
        <x:v>2024-12-31</x:v>
      </x:c>
      <x:c r="O117" s="24" t="str">
        <x:v>使用者提供之聯電簡明財報截圖</x:v>
      </x:c>
    </x:row>
    <x:row r="118" ht="15" hidden="0" customHeight="1">
      <x:c r="A118" s="24" t="str">
        <x:v>UMC_2025_treasury_shares</x:v>
      </x:c>
      <x:c r="B118" s="24" t="str">
        <x:v>聯華電子股份有限公司</x:v>
      </x:c>
      <x:c r="C118" s="24" t="str">
        <x:v>2303</x:v>
      </x:c>
      <x:c r="D118" s="24" t="n">
        <x:v>2025</x:v>
      </x:c>
      <x:c r="E118" s="24" t="n">
        <x:v>114</x:v>
      </x:c>
      <x:c r="F118" s="24" t="str">
        <x:v>簡明資產負債表</x:v>
      </x:c>
      <x:c r="G118" s="24" t="str">
        <x:v>treasury_shares</x:v>
      </x:c>
      <x:c r="H118" s="24" t="str">
        <x:v>庫藏股票</x:v>
      </x:c>
      <x:c r="I118" s="26"/>
      <x:c r="J118" s="24" t="str">
        <x:v>not_reported</x:v>
      </x:c>
      <x:c r="K118" s="24" t="str">
        <x:v>新臺幣仟元</x:v>
      </x:c>
      <x:c r="L118" s="24" t="str">
        <x:v>instant</x:v>
      </x:c>
      <x:c r="M118" s="24" t="str"/>
      <x:c r="N118" s="24" t="str">
        <x:v>2025-12-31</x:v>
      </x:c>
      <x:c r="O118" s="24" t="str">
        <x:v>使用者提供之聯電簡明財報截圖</x:v>
      </x:c>
    </x:row>
    <x:row r="119" ht="15" hidden="0" customHeight="1">
      <x:c r="A119" s="24" t="str">
        <x:v>UMC_2023_equity_parent</x:v>
      </x:c>
      <x:c r="B119" s="24" t="str">
        <x:v>聯華電子股份有限公司</x:v>
      </x:c>
      <x:c r="C119" s="24" t="str">
        <x:v>2303</x:v>
      </x:c>
      <x:c r="D119" s="24" t="n">
        <x:v>2023</x:v>
      </x:c>
      <x:c r="E119" s="24" t="n">
        <x:v>112</x:v>
      </x:c>
      <x:c r="F119" s="24" t="str">
        <x:v>簡明資產負債表</x:v>
      </x:c>
      <x:c r="G119" s="24" t="str">
        <x:v>equity_parent</x:v>
      </x:c>
      <x:c r="H119" s="24" t="str">
        <x:v>歸屬於母公司業主之權益合計</x:v>
      </x:c>
      <x:c r="I119" s="26" t="n">
        <x:v>359237713</x:v>
      </x:c>
      <x:c r="J119" s="24" t="str">
        <x:v>reported</x:v>
      </x:c>
      <x:c r="K119" s="24" t="str">
        <x:v>新臺幣仟元</x:v>
      </x:c>
      <x:c r="L119" s="24" t="str">
        <x:v>instant</x:v>
      </x:c>
      <x:c r="M119" s="24" t="str"/>
      <x:c r="N119" s="24" t="str">
        <x:v>2023-12-31</x:v>
      </x:c>
      <x:c r="O119" s="24" t="str">
        <x:v>使用者提供之聯電簡明財報截圖</x:v>
      </x:c>
    </x:row>
    <x:row r="120" ht="15" hidden="0" customHeight="1">
      <x:c r="A120" s="24" t="str">
        <x:v>UMC_2024_equity_parent</x:v>
      </x:c>
      <x:c r="B120" s="24" t="str">
        <x:v>聯華電子股份有限公司</x:v>
      </x:c>
      <x:c r="C120" s="24" t="str">
        <x:v>2303</x:v>
      </x:c>
      <x:c r="D120" s="24" t="n">
        <x:v>2024</x:v>
      </x:c>
      <x:c r="E120" s="24" t="n">
        <x:v>113</x:v>
      </x:c>
      <x:c r="F120" s="24" t="str">
        <x:v>簡明資產負債表</x:v>
      </x:c>
      <x:c r="G120" s="24" t="str">
        <x:v>equity_parent</x:v>
      </x:c>
      <x:c r="H120" s="24" t="str">
        <x:v>歸屬於母公司業主之權益合計</x:v>
      </x:c>
      <x:c r="I120" s="26" t="n">
        <x:v>377928391</x:v>
      </x:c>
      <x:c r="J120" s="24" t="str">
        <x:v>reported</x:v>
      </x:c>
      <x:c r="K120" s="24" t="str">
        <x:v>新臺幣仟元</x:v>
      </x:c>
      <x:c r="L120" s="24" t="str">
        <x:v>instant</x:v>
      </x:c>
      <x:c r="M120" s="24" t="str"/>
      <x:c r="N120" s="24" t="str">
        <x:v>2024-12-31</x:v>
      </x:c>
      <x:c r="O120" s="24" t="str">
        <x:v>使用者提供之聯電簡明財報截圖</x:v>
      </x:c>
    </x:row>
    <x:row r="121" ht="15" hidden="0" customHeight="1">
      <x:c r="A121" s="24" t="str">
        <x:v>UMC_2025_equity_parent</x:v>
      </x:c>
      <x:c r="B121" s="24" t="str">
        <x:v>聯華電子股份有限公司</x:v>
      </x:c>
      <x:c r="C121" s="24" t="str">
        <x:v>2303</x:v>
      </x:c>
      <x:c r="D121" s="24" t="n">
        <x:v>2025</x:v>
      </x:c>
      <x:c r="E121" s="24" t="n">
        <x:v>114</x:v>
      </x:c>
      <x:c r="F121" s="24" t="str">
        <x:v>簡明資產負債表</x:v>
      </x:c>
      <x:c r="G121" s="24" t="str">
        <x:v>equity_parent</x:v>
      </x:c>
      <x:c r="H121" s="24" t="str">
        <x:v>歸屬於母公司業主之權益合計</x:v>
      </x:c>
      <x:c r="I121" s="26" t="n">
        <x:v>379768265</x:v>
      </x:c>
      <x:c r="J121" s="24" t="str">
        <x:v>reported</x:v>
      </x:c>
      <x:c r="K121" s="24" t="str">
        <x:v>新臺幣仟元</x:v>
      </x:c>
      <x:c r="L121" s="24" t="str">
        <x:v>instant</x:v>
      </x:c>
      <x:c r="M121" s="24" t="str"/>
      <x:c r="N121" s="24" t="str">
        <x:v>2025-12-31</x:v>
      </x:c>
      <x:c r="O121" s="24" t="str">
        <x:v>使用者提供之聯電簡明財報截圖</x:v>
      </x:c>
    </x:row>
    <x:row r="122" ht="26.399999618530273" hidden="0" customHeight="1">
      <x:c r="A122" s="24" t="str">
        <x:v>UMC_2023_predecessor_interest_equity</x:v>
      </x:c>
      <x:c r="B122" s="24" t="str">
        <x:v>聯華電子股份有限公司</x:v>
      </x:c>
      <x:c r="C122" s="24" t="str">
        <x:v>2303</x:v>
      </x:c>
      <x:c r="D122" s="24" t="n">
        <x:v>2023</x:v>
      </x:c>
      <x:c r="E122" s="24" t="n">
        <x:v>112</x:v>
      </x:c>
      <x:c r="F122" s="24" t="str">
        <x:v>簡明資產負債表</x:v>
      </x:c>
      <x:c r="G122" s="24" t="str">
        <x:v>predecessor_interest_equity</x:v>
      </x:c>
      <x:c r="H122" s="24" t="str">
        <x:v>共同控制下前手權益</x:v>
      </x:c>
      <x:c r="I122" s="26"/>
      <x:c r="J122" s="24" t="str">
        <x:v>not_reported</x:v>
      </x:c>
      <x:c r="K122" s="24" t="str">
        <x:v>新臺幣仟元</x:v>
      </x:c>
      <x:c r="L122" s="24" t="str">
        <x:v>instant</x:v>
      </x:c>
      <x:c r="M122" s="24" t="str"/>
      <x:c r="N122" s="24" t="str">
        <x:v>2023-12-31</x:v>
      </x:c>
      <x:c r="O122" s="24" t="str">
        <x:v>使用者提供之聯電簡明財報截圖</x:v>
      </x:c>
    </x:row>
    <x:row r="123" ht="26.399999618530273" hidden="0" customHeight="1">
      <x:c r="A123" s="24" t="str">
        <x:v>UMC_2024_predecessor_interest_equity</x:v>
      </x:c>
      <x:c r="B123" s="24" t="str">
        <x:v>聯華電子股份有限公司</x:v>
      </x:c>
      <x:c r="C123" s="24" t="str">
        <x:v>2303</x:v>
      </x:c>
      <x:c r="D123" s="24" t="n">
        <x:v>2024</x:v>
      </x:c>
      <x:c r="E123" s="24" t="n">
        <x:v>113</x:v>
      </x:c>
      <x:c r="F123" s="24" t="str">
        <x:v>簡明資產負債表</x:v>
      </x:c>
      <x:c r="G123" s="24" t="str">
        <x:v>predecessor_interest_equity</x:v>
      </x:c>
      <x:c r="H123" s="24" t="str">
        <x:v>共同控制下前手權益</x:v>
      </x:c>
      <x:c r="I123" s="26"/>
      <x:c r="J123" s="24" t="str">
        <x:v>not_reported</x:v>
      </x:c>
      <x:c r="K123" s="24" t="str">
        <x:v>新臺幣仟元</x:v>
      </x:c>
      <x:c r="L123" s="24" t="str">
        <x:v>instant</x:v>
      </x:c>
      <x:c r="M123" s="24" t="str"/>
      <x:c r="N123" s="24" t="str">
        <x:v>2024-12-31</x:v>
      </x:c>
      <x:c r="O123" s="24" t="str">
        <x:v>使用者提供之聯電簡明財報截圖</x:v>
      </x:c>
    </x:row>
    <x:row r="124" ht="26.399999618530273" hidden="0" customHeight="1">
      <x:c r="A124" s="24" t="str">
        <x:v>UMC_2025_predecessor_interest_equity</x:v>
      </x:c>
      <x:c r="B124" s="24" t="str">
        <x:v>聯華電子股份有限公司</x:v>
      </x:c>
      <x:c r="C124" s="24" t="str">
        <x:v>2303</x:v>
      </x:c>
      <x:c r="D124" s="24" t="n">
        <x:v>2025</x:v>
      </x:c>
      <x:c r="E124" s="24" t="n">
        <x:v>114</x:v>
      </x:c>
      <x:c r="F124" s="24" t="str">
        <x:v>簡明資產負債表</x:v>
      </x:c>
      <x:c r="G124" s="24" t="str">
        <x:v>predecessor_interest_equity</x:v>
      </x:c>
      <x:c r="H124" s="24" t="str">
        <x:v>共同控制下前手權益</x:v>
      </x:c>
      <x:c r="I124" s="26"/>
      <x:c r="J124" s="24" t="str">
        <x:v>not_reported</x:v>
      </x:c>
      <x:c r="K124" s="24" t="str">
        <x:v>新臺幣仟元</x:v>
      </x:c>
      <x:c r="L124" s="24" t="str">
        <x:v>instant</x:v>
      </x:c>
      <x:c r="M124" s="24" t="str"/>
      <x:c r="N124" s="24" t="str">
        <x:v>2025-12-31</x:v>
      </x:c>
      <x:c r="O124" s="24" t="str">
        <x:v>使用者提供之聯電簡明財報截圖</x:v>
      </x:c>
    </x:row>
    <x:row r="125" ht="15" hidden="0" customHeight="1">
      <x:c r="A125" s="24" t="str">
        <x:v>UMC_2023_nci_equity</x:v>
      </x:c>
      <x:c r="B125" s="24" t="str">
        <x:v>聯華電子股份有限公司</x:v>
      </x:c>
      <x:c r="C125" s="24" t="str">
        <x:v>2303</x:v>
      </x:c>
      <x:c r="D125" s="24" t="n">
        <x:v>2023</x:v>
      </x:c>
      <x:c r="E125" s="24" t="n">
        <x:v>112</x:v>
      </x:c>
      <x:c r="F125" s="24" t="str">
        <x:v>簡明資產負債表</x:v>
      </x:c>
      <x:c r="G125" s="24" t="str">
        <x:v>nci_equity</x:v>
      </x:c>
      <x:c r="H125" s="24" t="str">
        <x:v>非控制權益</x:v>
      </x:c>
      <x:c r="I125" s="26" t="n">
        <x:v>340859</x:v>
      </x:c>
      <x:c r="J125" s="24" t="str">
        <x:v>reported</x:v>
      </x:c>
      <x:c r="K125" s="24" t="str">
        <x:v>新臺幣仟元</x:v>
      </x:c>
      <x:c r="L125" s="24" t="str">
        <x:v>instant</x:v>
      </x:c>
      <x:c r="M125" s="24" t="str"/>
      <x:c r="N125" s="24" t="str">
        <x:v>2023-12-31</x:v>
      </x:c>
      <x:c r="O125" s="24" t="str">
        <x:v>使用者提供之聯電簡明財報截圖</x:v>
      </x:c>
    </x:row>
    <x:row r="126" ht="15" hidden="0" customHeight="1">
      <x:c r="A126" s="24" t="str">
        <x:v>UMC_2024_nci_equity</x:v>
      </x:c>
      <x:c r="B126" s="24" t="str">
        <x:v>聯華電子股份有限公司</x:v>
      </x:c>
      <x:c r="C126" s="24" t="str">
        <x:v>2303</x:v>
      </x:c>
      <x:c r="D126" s="24" t="n">
        <x:v>2024</x:v>
      </x:c>
      <x:c r="E126" s="24" t="n">
        <x:v>113</x:v>
      </x:c>
      <x:c r="F126" s="24" t="str">
        <x:v>簡明資產負債表</x:v>
      </x:c>
      <x:c r="G126" s="24" t="str">
        <x:v>nci_equity</x:v>
      </x:c>
      <x:c r="H126" s="24" t="str">
        <x:v>非控制權益</x:v>
      </x:c>
      <x:c r="I126" s="26" t="n">
        <x:v>256613</x:v>
      </x:c>
      <x:c r="J126" s="24" t="str">
        <x:v>reported</x:v>
      </x:c>
      <x:c r="K126" s="24" t="str">
        <x:v>新臺幣仟元</x:v>
      </x:c>
      <x:c r="L126" s="24" t="str">
        <x:v>instant</x:v>
      </x:c>
      <x:c r="M126" s="24" t="str"/>
      <x:c r="N126" s="24" t="str">
        <x:v>2024-12-31</x:v>
      </x:c>
      <x:c r="O126" s="24" t="str">
        <x:v>使用者提供之聯電簡明財報截圖</x:v>
      </x:c>
    </x:row>
    <x:row r="127" ht="15" hidden="0" customHeight="1">
      <x:c r="A127" s="24" t="str">
        <x:v>UMC_2025_nci_equity</x:v>
      </x:c>
      <x:c r="B127" s="24" t="str">
        <x:v>聯華電子股份有限公司</x:v>
      </x:c>
      <x:c r="C127" s="24" t="str">
        <x:v>2303</x:v>
      </x:c>
      <x:c r="D127" s="24" t="n">
        <x:v>2025</x:v>
      </x:c>
      <x:c r="E127" s="24" t="n">
        <x:v>114</x:v>
      </x:c>
      <x:c r="F127" s="24" t="str">
        <x:v>簡明資產負債表</x:v>
      </x:c>
      <x:c r="G127" s="24" t="str">
        <x:v>nci_equity</x:v>
      </x:c>
      <x:c r="H127" s="24" t="str">
        <x:v>非控制權益</x:v>
      </x:c>
      <x:c r="I127" s="26" t="n">
        <x:v>87175</x:v>
      </x:c>
      <x:c r="J127" s="24" t="str">
        <x:v>reported</x:v>
      </x:c>
      <x:c r="K127" s="24" t="str">
        <x:v>新臺幣仟元</x:v>
      </x:c>
      <x:c r="L127" s="24" t="str">
        <x:v>instant</x:v>
      </x:c>
      <x:c r="M127" s="24" t="str"/>
      <x:c r="N127" s="24" t="str">
        <x:v>2025-12-31</x:v>
      </x:c>
      <x:c r="O127" s="24" t="str">
        <x:v>使用者提供之聯電簡明財報截圖</x:v>
      </x:c>
    </x:row>
    <x:row r="128" ht="15" hidden="0" customHeight="1">
      <x:c r="A128" s="24" t="str">
        <x:v>UMC_2023_total_equity</x:v>
      </x:c>
      <x:c r="B128" s="24" t="str">
        <x:v>聯華電子股份有限公司</x:v>
      </x:c>
      <x:c r="C128" s="24" t="str">
        <x:v>2303</x:v>
      </x:c>
      <x:c r="D128" s="24" t="n">
        <x:v>2023</x:v>
      </x:c>
      <x:c r="E128" s="24" t="n">
        <x:v>112</x:v>
      </x:c>
      <x:c r="F128" s="24" t="str">
        <x:v>簡明資產負債表</x:v>
      </x:c>
      <x:c r="G128" s="24" t="str">
        <x:v>total_equity</x:v>
      </x:c>
      <x:c r="H128" s="24" t="str">
        <x:v>權益總計</x:v>
      </x:c>
      <x:c r="I128" s="26" t="n">
        <x:v>359578572</x:v>
      </x:c>
      <x:c r="J128" s="24" t="str">
        <x:v>reported</x:v>
      </x:c>
      <x:c r="K128" s="24" t="str">
        <x:v>新臺幣仟元</x:v>
      </x:c>
      <x:c r="L128" s="24" t="str">
        <x:v>instant</x:v>
      </x:c>
      <x:c r="M128" s="24" t="str"/>
      <x:c r="N128" s="24" t="str">
        <x:v>2023-12-31</x:v>
      </x:c>
      <x:c r="O128" s="24" t="str">
        <x:v>使用者提供之聯電簡明財報截圖</x:v>
      </x:c>
    </x:row>
    <x:row r="129" ht="15" hidden="0" customHeight="1">
      <x:c r="A129" s="24" t="str">
        <x:v>UMC_2024_total_equity</x:v>
      </x:c>
      <x:c r="B129" s="24" t="str">
        <x:v>聯華電子股份有限公司</x:v>
      </x:c>
      <x:c r="C129" s="24" t="str">
        <x:v>2303</x:v>
      </x:c>
      <x:c r="D129" s="24" t="n">
        <x:v>2024</x:v>
      </x:c>
      <x:c r="E129" s="24" t="n">
        <x:v>113</x:v>
      </x:c>
      <x:c r="F129" s="24" t="str">
        <x:v>簡明資產負債表</x:v>
      </x:c>
      <x:c r="G129" s="24" t="str">
        <x:v>total_equity</x:v>
      </x:c>
      <x:c r="H129" s="24" t="str">
        <x:v>權益總計</x:v>
      </x:c>
      <x:c r="I129" s="26" t="n">
        <x:v>378185004</x:v>
      </x:c>
      <x:c r="J129" s="24" t="str">
        <x:v>reported</x:v>
      </x:c>
      <x:c r="K129" s="24" t="str">
        <x:v>新臺幣仟元</x:v>
      </x:c>
      <x:c r="L129" s="24" t="str">
        <x:v>instant</x:v>
      </x:c>
      <x:c r="M129" s="24" t="str"/>
      <x:c r="N129" s="24" t="str">
        <x:v>2024-12-31</x:v>
      </x:c>
      <x:c r="O129" s="24" t="str">
        <x:v>使用者提供之聯電簡明財報截圖</x:v>
      </x:c>
    </x:row>
    <x:row r="130" ht="15" hidden="0" customHeight="1">
      <x:c r="A130" s="24" t="str">
        <x:v>UMC_2025_total_equity</x:v>
      </x:c>
      <x:c r="B130" s="24" t="str">
        <x:v>聯華電子股份有限公司</x:v>
      </x:c>
      <x:c r="C130" s="24" t="str">
        <x:v>2303</x:v>
      </x:c>
      <x:c r="D130" s="24" t="n">
        <x:v>2025</x:v>
      </x:c>
      <x:c r="E130" s="24" t="n">
        <x:v>114</x:v>
      </x:c>
      <x:c r="F130" s="24" t="str">
        <x:v>簡明資產負債表</x:v>
      </x:c>
      <x:c r="G130" s="24" t="str">
        <x:v>total_equity</x:v>
      </x:c>
      <x:c r="H130" s="24" t="str">
        <x:v>權益總計</x:v>
      </x:c>
      <x:c r="I130" s="26" t="n">
        <x:v>379855440</x:v>
      </x:c>
      <x:c r="J130" s="24" t="str">
        <x:v>reported</x:v>
      </x:c>
      <x:c r="K130" s="24" t="str">
        <x:v>新臺幣仟元</x:v>
      </x:c>
      <x:c r="L130" s="24" t="str">
        <x:v>instant</x:v>
      </x:c>
      <x:c r="M130" s="24" t="str"/>
      <x:c r="N130" s="24" t="str">
        <x:v>2025-12-31</x:v>
      </x:c>
      <x:c r="O130" s="24" t="str">
        <x:v>使用者提供之聯電簡明財報截圖</x:v>
      </x:c>
    </x:row>
    <x:row r="131" ht="26.399999618530273" hidden="0" customHeight="1">
      <x:c r="A131" s="24" t="str">
        <x:v>UMC_2023_shares_pending_cancellation</x:v>
      </x:c>
      <x:c r="B131" s="24" t="str">
        <x:v>聯華電子股份有限公司</x:v>
      </x:c>
      <x:c r="C131" s="24" t="str">
        <x:v>2303</x:v>
      </x:c>
      <x:c r="D131" s="24" t="n">
        <x:v>2023</x:v>
      </x:c>
      <x:c r="E131" s="24" t="n">
        <x:v>112</x:v>
      </x:c>
      <x:c r="F131" s="24" t="str">
        <x:v>簡明資產負債表</x:v>
      </x:c>
      <x:c r="G131" s="24" t="str">
        <x:v>shares_pending_cancellation</x:v>
      </x:c>
      <x:c r="H131" s="24" t="str">
        <x:v>待註銷股本股數</x:v>
      </x:c>
      <x:c r="I131" s="26"/>
      <x:c r="J131" s="24" t="str">
        <x:v>not_reported</x:v>
      </x:c>
      <x:c r="K131" s="24" t="str">
        <x:v>股</x:v>
      </x:c>
      <x:c r="L131" s="24" t="str">
        <x:v>instant</x:v>
      </x:c>
      <x:c r="M131" s="24" t="str"/>
      <x:c r="N131" s="24" t="str">
        <x:v>2023-12-31</x:v>
      </x:c>
      <x:c r="O131" s="24" t="str">
        <x:v>使用者提供之聯電簡明財報截圖</x:v>
      </x:c>
    </x:row>
    <x:row r="132" ht="26.399999618530273" hidden="0" customHeight="1">
      <x:c r="A132" s="24" t="str">
        <x:v>UMC_2024_shares_pending_cancellation</x:v>
      </x:c>
      <x:c r="B132" s="24" t="str">
        <x:v>聯華電子股份有限公司</x:v>
      </x:c>
      <x:c r="C132" s="24" t="str">
        <x:v>2303</x:v>
      </x:c>
      <x:c r="D132" s="24" t="n">
        <x:v>2024</x:v>
      </x:c>
      <x:c r="E132" s="24" t="n">
        <x:v>113</x:v>
      </x:c>
      <x:c r="F132" s="24" t="str">
        <x:v>簡明資產負債表</x:v>
      </x:c>
      <x:c r="G132" s="24" t="str">
        <x:v>shares_pending_cancellation</x:v>
      </x:c>
      <x:c r="H132" s="24" t="str">
        <x:v>待註銷股本股數</x:v>
      </x:c>
      <x:c r="I132" s="26"/>
      <x:c r="J132" s="24" t="str">
        <x:v>not_reported</x:v>
      </x:c>
      <x:c r="K132" s="24" t="str">
        <x:v>股</x:v>
      </x:c>
      <x:c r="L132" s="24" t="str">
        <x:v>instant</x:v>
      </x:c>
      <x:c r="M132" s="24" t="str"/>
      <x:c r="N132" s="24" t="str">
        <x:v>2024-12-31</x:v>
      </x:c>
      <x:c r="O132" s="24" t="str">
        <x:v>使用者提供之聯電簡明財報截圖</x:v>
      </x:c>
    </x:row>
    <x:row r="133" ht="26.399999618530273" hidden="0" customHeight="1">
      <x:c r="A133" s="24" t="str">
        <x:v>UMC_2025_shares_pending_cancellation</x:v>
      </x:c>
      <x:c r="B133" s="24" t="str">
        <x:v>聯華電子股份有限公司</x:v>
      </x:c>
      <x:c r="C133" s="24" t="str">
        <x:v>2303</x:v>
      </x:c>
      <x:c r="D133" s="24" t="n">
        <x:v>2025</x:v>
      </x:c>
      <x:c r="E133" s="24" t="n">
        <x:v>114</x:v>
      </x:c>
      <x:c r="F133" s="24" t="str">
        <x:v>簡明資產負債表</x:v>
      </x:c>
      <x:c r="G133" s="24" t="str">
        <x:v>shares_pending_cancellation</x:v>
      </x:c>
      <x:c r="H133" s="24" t="str">
        <x:v>待註銷股本股數</x:v>
      </x:c>
      <x:c r="I133" s="26"/>
      <x:c r="J133" s="24" t="str">
        <x:v>not_reported</x:v>
      </x:c>
      <x:c r="K133" s="24" t="str">
        <x:v>股</x:v>
      </x:c>
      <x:c r="L133" s="24" t="str">
        <x:v>instant</x:v>
      </x:c>
      <x:c r="M133" s="24" t="str"/>
      <x:c r="N133" s="24" t="str">
        <x:v>2025-12-31</x:v>
      </x:c>
      <x:c r="O133" s="24" t="str">
        <x:v>使用者提供之聯電簡明財報截圖</x:v>
      </x:c>
    </x:row>
    <x:row r="134" ht="26.399999618530273" hidden="0" customHeight="1">
      <x:c r="A134" s="24" t="str">
        <x:v>UMC_2023_equivalent_issued_shares_advances</x:v>
      </x:c>
      <x:c r="B134" s="24" t="str">
        <x:v>聯華電子股份有限公司</x:v>
      </x:c>
      <x:c r="C134" s="24" t="str">
        <x:v>2303</x:v>
      </x:c>
      <x:c r="D134" s="24" t="n">
        <x:v>2023</x:v>
      </x:c>
      <x:c r="E134" s="24" t="n">
        <x:v>112</x:v>
      </x:c>
      <x:c r="F134" s="24" t="str">
        <x:v>簡明資產負債表</x:v>
      </x:c>
      <x:c r="G134" s="24" t="str">
        <x:v>equivalent_issued_shares_advances</x:v>
      </x:c>
      <x:c r="H134" s="24" t="str">
        <x:v>預收股款之約當發行股數</x:v>
      </x:c>
      <x:c r="I134" s="26" t="n">
        <x:v>0</x:v>
      </x:c>
      <x:c r="J134" s="24" t="str">
        <x:v>reported_zero</x:v>
      </x:c>
      <x:c r="K134" s="24" t="str">
        <x:v>股</x:v>
      </x:c>
      <x:c r="L134" s="24" t="str">
        <x:v>instant</x:v>
      </x:c>
      <x:c r="M134" s="24" t="str"/>
      <x:c r="N134" s="24" t="str">
        <x:v>2023-12-31</x:v>
      </x:c>
      <x:c r="O134" s="24" t="str">
        <x:v>使用者提供之聯電簡明財報截圖</x:v>
      </x:c>
    </x:row>
    <x:row r="135" ht="26.399999618530273" hidden="0" customHeight="1">
      <x:c r="A135" s="24" t="str">
        <x:v>UMC_2024_equivalent_issued_shares_advances</x:v>
      </x:c>
      <x:c r="B135" s="24" t="str">
        <x:v>聯華電子股份有限公司</x:v>
      </x:c>
      <x:c r="C135" s="24" t="str">
        <x:v>2303</x:v>
      </x:c>
      <x:c r="D135" s="24" t="n">
        <x:v>2024</x:v>
      </x:c>
      <x:c r="E135" s="24" t="n">
        <x:v>113</x:v>
      </x:c>
      <x:c r="F135" s="24" t="str">
        <x:v>簡明資產負債表</x:v>
      </x:c>
      <x:c r="G135" s="24" t="str">
        <x:v>equivalent_issued_shares_advances</x:v>
      </x:c>
      <x:c r="H135" s="24" t="str">
        <x:v>預收股款之約當發行股數</x:v>
      </x:c>
      <x:c r="I135" s="26" t="n">
        <x:v>0</x:v>
      </x:c>
      <x:c r="J135" s="24" t="str">
        <x:v>reported_zero</x:v>
      </x:c>
      <x:c r="K135" s="24" t="str">
        <x:v>股</x:v>
      </x:c>
      <x:c r="L135" s="24" t="str">
        <x:v>instant</x:v>
      </x:c>
      <x:c r="M135" s="24" t="str"/>
      <x:c r="N135" s="24" t="str">
        <x:v>2024-12-31</x:v>
      </x:c>
      <x:c r="O135" s="24" t="str">
        <x:v>使用者提供之聯電簡明財報截圖</x:v>
      </x:c>
    </x:row>
    <x:row r="136" ht="26.399999618530273" hidden="0" customHeight="1">
      <x:c r="A136" s="24" t="str">
        <x:v>UMC_2025_equivalent_issued_shares_advances</x:v>
      </x:c>
      <x:c r="B136" s="24" t="str">
        <x:v>聯華電子股份有限公司</x:v>
      </x:c>
      <x:c r="C136" s="24" t="str">
        <x:v>2303</x:v>
      </x:c>
      <x:c r="D136" s="24" t="n">
        <x:v>2025</x:v>
      </x:c>
      <x:c r="E136" s="24" t="n">
        <x:v>114</x:v>
      </x:c>
      <x:c r="F136" s="24" t="str">
        <x:v>簡明資產負債表</x:v>
      </x:c>
      <x:c r="G136" s="24" t="str">
        <x:v>equivalent_issued_shares_advances</x:v>
      </x:c>
      <x:c r="H136" s="24" t="str">
        <x:v>預收股款之約當發行股數</x:v>
      </x:c>
      <x:c r="I136" s="26" t="n">
        <x:v>0</x:v>
      </x:c>
      <x:c r="J136" s="24" t="str">
        <x:v>reported_zero</x:v>
      </x:c>
      <x:c r="K136" s="24" t="str">
        <x:v>股</x:v>
      </x:c>
      <x:c r="L136" s="24" t="str">
        <x:v>instant</x:v>
      </x:c>
      <x:c r="M136" s="24" t="str"/>
      <x:c r="N136" s="24" t="str">
        <x:v>2025-12-31</x:v>
      </x:c>
      <x:c r="O136" s="24" t="str">
        <x:v>使用者提供之聯電簡明財報截圖</x:v>
      </x:c>
    </x:row>
    <x:row r="137" ht="15" hidden="0" customHeight="1">
      <x:c r="A137" s="24" t="str">
        <x:v>UMC_2023_treasury_shares_count</x:v>
      </x:c>
      <x:c r="B137" s="24" t="str">
        <x:v>聯華電子股份有限公司</x:v>
      </x:c>
      <x:c r="C137" s="24" t="str">
        <x:v>2303</x:v>
      </x:c>
      <x:c r="D137" s="24" t="n">
        <x:v>2023</x:v>
      </x:c>
      <x:c r="E137" s="24" t="n">
        <x:v>112</x:v>
      </x:c>
      <x:c r="F137" s="24" t="str">
        <x:v>簡明資產負債表</x:v>
      </x:c>
      <x:c r="G137" s="24" t="str">
        <x:v>treasury_shares_count</x:v>
      </x:c>
      <x:c r="H137" s="24" t="str">
        <x:v>母子公司持有之母公司庫藏股股數</x:v>
      </x:c>
      <x:c r="I137" s="26" t="n">
        <x:v>0</x:v>
      </x:c>
      <x:c r="J137" s="24" t="str">
        <x:v>reported_zero</x:v>
      </x:c>
      <x:c r="K137" s="24" t="str">
        <x:v>股</x:v>
      </x:c>
      <x:c r="L137" s="24" t="str">
        <x:v>instant</x:v>
      </x:c>
      <x:c r="M137" s="24" t="str"/>
      <x:c r="N137" s="24" t="str">
        <x:v>2023-12-31</x:v>
      </x:c>
      <x:c r="O137" s="24" t="str">
        <x:v>使用者提供之聯電簡明財報截圖</x:v>
      </x:c>
    </x:row>
    <x:row r="138" ht="15" hidden="0" customHeight="1">
      <x:c r="A138" s="24" t="str">
        <x:v>UMC_2024_treasury_shares_count</x:v>
      </x:c>
      <x:c r="B138" s="24" t="str">
        <x:v>聯華電子股份有限公司</x:v>
      </x:c>
      <x:c r="C138" s="24" t="str">
        <x:v>2303</x:v>
      </x:c>
      <x:c r="D138" s="24" t="n">
        <x:v>2024</x:v>
      </x:c>
      <x:c r="E138" s="24" t="n">
        <x:v>113</x:v>
      </x:c>
      <x:c r="F138" s="24" t="str">
        <x:v>簡明資產負債表</x:v>
      </x:c>
      <x:c r="G138" s="24" t="str">
        <x:v>treasury_shares_count</x:v>
      </x:c>
      <x:c r="H138" s="24" t="str">
        <x:v>母子公司持有之母公司庫藏股股數</x:v>
      </x:c>
      <x:c r="I138" s="26" t="n">
        <x:v>0</x:v>
      </x:c>
      <x:c r="J138" s="24" t="str">
        <x:v>reported_zero</x:v>
      </x:c>
      <x:c r="K138" s="24" t="str">
        <x:v>股</x:v>
      </x:c>
      <x:c r="L138" s="24" t="str">
        <x:v>instant</x:v>
      </x:c>
      <x:c r="M138" s="24" t="str"/>
      <x:c r="N138" s="24" t="str">
        <x:v>2024-12-31</x:v>
      </x:c>
      <x:c r="O138" s="24" t="str">
        <x:v>使用者提供之聯電簡明財報截圖</x:v>
      </x:c>
    </x:row>
    <x:row r="139" ht="15" hidden="0" customHeight="1">
      <x:c r="A139" s="24" t="str">
        <x:v>UMC_2025_treasury_shares_count</x:v>
      </x:c>
      <x:c r="B139" s="24" t="str">
        <x:v>聯華電子股份有限公司</x:v>
      </x:c>
      <x:c r="C139" s="24" t="str">
        <x:v>2303</x:v>
      </x:c>
      <x:c r="D139" s="24" t="n">
        <x:v>2025</x:v>
      </x:c>
      <x:c r="E139" s="24" t="n">
        <x:v>114</x:v>
      </x:c>
      <x:c r="F139" s="24" t="str">
        <x:v>簡明資產負債表</x:v>
      </x:c>
      <x:c r="G139" s="24" t="str">
        <x:v>treasury_shares_count</x:v>
      </x:c>
      <x:c r="H139" s="24" t="str">
        <x:v>母子公司持有之母公司庫藏股股數</x:v>
      </x:c>
      <x:c r="I139" s="26" t="n">
        <x:v>0</x:v>
      </x:c>
      <x:c r="J139" s="24" t="str">
        <x:v>reported_zero</x:v>
      </x:c>
      <x:c r="K139" s="24" t="str">
        <x:v>股</x:v>
      </x:c>
      <x:c r="L139" s="24" t="str">
        <x:v>instant</x:v>
      </x:c>
      <x:c r="M139" s="24" t="str"/>
      <x:c r="N139" s="24" t="str">
        <x:v>2025-12-31</x:v>
      </x:c>
      <x:c r="O139" s="24" t="str">
        <x:v>使用者提供之聯電簡明財報截圖</x:v>
      </x:c>
    </x:row>
    <x:row r="140" ht="15" hidden="0" customHeight="1">
      <x:c r="A140" s="24" t="str">
        <x:v>UMC_2023_book_value_per_share</x:v>
      </x:c>
      <x:c r="B140" s="24" t="str">
        <x:v>聯華電子股份有限公司</x:v>
      </x:c>
      <x:c r="C140" s="24" t="str">
        <x:v>2303</x:v>
      </x:c>
      <x:c r="D140" s="24" t="n">
        <x:v>2023</x:v>
      </x:c>
      <x:c r="E140" s="24" t="n">
        <x:v>112</x:v>
      </x:c>
      <x:c r="F140" s="24" t="str">
        <x:v>簡明資產負債表</x:v>
      </x:c>
      <x:c r="G140" s="24" t="str">
        <x:v>book_value_per_share</x:v>
      </x:c>
      <x:c r="H140" s="24" t="str">
        <x:v>每股淨值（元）</x:v>
      </x:c>
      <x:c r="I140" s="26" t="n">
        <x:v>28.67</x:v>
      </x:c>
      <x:c r="J140" s="24" t="str">
        <x:v>reported</x:v>
      </x:c>
      <x:c r="K140" s="24" t="str">
        <x:v>元</x:v>
      </x:c>
      <x:c r="L140" s="24" t="str">
        <x:v>instant</x:v>
      </x:c>
      <x:c r="M140" s="24" t="str"/>
      <x:c r="N140" s="24" t="str">
        <x:v>2023-12-31</x:v>
      </x:c>
      <x:c r="O140" s="24" t="str">
        <x:v>使用者提供之聯電簡明財報截圖</x:v>
      </x:c>
    </x:row>
    <x:row r="141" ht="15" hidden="0" customHeight="1">
      <x:c r="A141" s="24" t="str">
        <x:v>UMC_2024_book_value_per_share</x:v>
      </x:c>
      <x:c r="B141" s="24" t="str">
        <x:v>聯華電子股份有限公司</x:v>
      </x:c>
      <x:c r="C141" s="24" t="str">
        <x:v>2303</x:v>
      </x:c>
      <x:c r="D141" s="24" t="n">
        <x:v>2024</x:v>
      </x:c>
      <x:c r="E141" s="24" t="n">
        <x:v>113</x:v>
      </x:c>
      <x:c r="F141" s="24" t="str">
        <x:v>簡明資產負債表</x:v>
      </x:c>
      <x:c r="G141" s="24" t="str">
        <x:v>book_value_per_share</x:v>
      </x:c>
      <x:c r="H141" s="24" t="str">
        <x:v>每股淨值（元）</x:v>
      </x:c>
      <x:c r="I141" s="26" t="n">
        <x:v>30.09</x:v>
      </x:c>
      <x:c r="J141" s="24" t="str">
        <x:v>reported</x:v>
      </x:c>
      <x:c r="K141" s="24" t="str">
        <x:v>元</x:v>
      </x:c>
      <x:c r="L141" s="24" t="str">
        <x:v>instant</x:v>
      </x:c>
      <x:c r="M141" s="24" t="str"/>
      <x:c r="N141" s="24" t="str">
        <x:v>2024-12-31</x:v>
      </x:c>
      <x:c r="O141" s="24" t="str">
        <x:v>使用者提供之聯電簡明財報截圖</x:v>
      </x:c>
    </x:row>
    <x:row r="142" ht="15" hidden="0" customHeight="1">
      <x:c r="A142" s="24" t="str">
        <x:v>UMC_2025_book_value_per_share</x:v>
      </x:c>
      <x:c r="B142" s="24" t="str">
        <x:v>聯華電子股份有限公司</x:v>
      </x:c>
      <x:c r="C142" s="24" t="str">
        <x:v>2303</x:v>
      </x:c>
      <x:c r="D142" s="24" t="n">
        <x:v>2025</x:v>
      </x:c>
      <x:c r="E142" s="24" t="n">
        <x:v>114</x:v>
      </x:c>
      <x:c r="F142" s="24" t="str">
        <x:v>簡明資產負債表</x:v>
      </x:c>
      <x:c r="G142" s="24" t="str">
        <x:v>book_value_per_share</x:v>
      </x:c>
      <x:c r="H142" s="24" t="str">
        <x:v>每股淨值（元）</x:v>
      </x:c>
      <x:c r="I142" s="26" t="n">
        <x:v>30.17</x:v>
      </x:c>
      <x:c r="J142" s="24" t="str">
        <x:v>reported</x:v>
      </x:c>
      <x:c r="K142" s="24" t="str">
        <x:v>元</x:v>
      </x:c>
      <x:c r="L142" s="24" t="str">
        <x:v>instant</x:v>
      </x:c>
      <x:c r="M142" s="24" t="str"/>
      <x:c r="N142" s="24" t="str">
        <x:v>2025-12-31</x:v>
      </x:c>
      <x:c r="O142" s="24" t="str">
        <x:v>使用者提供之聯電簡明財報截圖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e520953aeba246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2" hidden="0" customWidth="1"/>
    <x:col min="4" max="4" width="30" hidden="0" customWidth="1"/>
    <x:col min="5" max="5" width="40" hidden="0" customWidth="1"/>
    <x:col min="6" max="6" width="42" hidden="0" customWidth="1"/>
  </x:cols>
  <x:sheetData>
    <x:row r="1">
      <x:c r="A1" s="4" t="str">
        <x:v>Question Type Definition — 沿用既有 GAAP→IFRS 標註規格</x:v>
      </x:c>
      <x:c r="B1" s="4"/>
      <x:c r="C1" s="4"/>
      <x:c r="D1" s="4"/>
      <x:c r="E1" s="4"/>
      <x:c r="F1" s="4"/>
    </x:row>
    <x:row r="3" ht="15" hidden="0" customHeight="1">
      <x:c r="A3" s="18" t="str">
        <x:v>Question_Type</x:v>
      </x:c>
      <x:c r="B3" s="18" t="str">
        <x:v>中文名稱</x:v>
      </x:c>
      <x:c r="C3" s="18" t="str">
        <x:v>定義</x:v>
      </x:c>
      <x:c r="D3" s="18" t="str">
        <x:v>判斷特徵 / Python Logic</x:v>
      </x:c>
      <x:c r="E3" s="18" t="str">
        <x:v>本資料集設計原則</x:v>
      </x:c>
      <x:c r="F3" s="18" t="str">
        <x:v>範例</x:v>
      </x:c>
    </x:row>
    <x:row r="4" ht="26.399999618530273" hidden="0" customHeight="1">
      <x:c r="A4" s="24" t="str">
        <x:v>Single-Fact</x:v>
      </x:c>
      <x:c r="B4" s="24" t="str">
        <x:v>數值檢索</x:v>
      </x:c>
      <x:c r="C4" s="24" t="str">
        <x:v>不需計算，直接從簡明財報擷取單一數值。</x:v>
      </x:c>
      <x:c r="D4" s="24" t="str">
        <x:v>return variable</x:v>
      </x:c>
      <x:c r="E4" s="24" t="str">
        <x:v>不得加入額外推理；需能由單一 Concept + Time 唯一定位。</x:v>
      </x:c>
      <x:c r="F4" s="24" t="str">
        <x:v>聯電114年度的營業收入是多少？</x:v>
      </x:c>
    </x:row>
    <x:row r="5" ht="26.399999618530273" hidden="0" customHeight="1">
      <x:c r="A5" s="24" t="str">
        <x:v>Comparison</x:v>
      </x:c>
      <x:c r="B5" s="24" t="str">
        <x:v>比較排序</x:v>
      </x:c>
      <x:c r="C5" s="24" t="str">
        <x:v>在多個年度或數值中找最大、最小或排序。</x:v>
      </x:c>
      <x:c r="D5" s="24" t="str">
        <x:v>max(), min(), sorted()</x:v>
      </x:c>
      <x:c r="E5" s="24" t="str">
        <x:v>至少包含 2 個候選值；答案通常為年度或項目。</x:v>
      </x:c>
      <x:c r="F5" s="24" t="str">
        <x:v>112至114年度中，哪一年的營業收入最高？</x:v>
      </x:c>
    </x:row>
    <x:row r="6" ht="15" hidden="0" customHeight="1">
      <x:c r="A6" s="24" t="str">
        <x:v>Growth_Rate</x:v>
      </x:c>
      <x:c r="B6" s="24" t="str">
        <x:v>成長率</x:v>
      </x:c>
      <x:c r="C6" s="24" t="str">
        <x:v>計算跨期間的相對變動幅度。</x:v>
      </x:c>
      <x:c r="D6" s="24" t="str">
        <x:v>(new - old) / old</x:v>
      </x:c>
      <x:c r="E6" s="24" t="str">
        <x:v>必須有前後兩期；輸出 % 時乘以 100。</x:v>
      </x:c>
      <x:c r="F6" s="24" t="str">
        <x:v>114年度營業收入相較113年度的成長率為何？</x:v>
      </x:c>
    </x:row>
    <x:row r="7" ht="26.399999618530273" hidden="0" customHeight="1">
      <x:c r="A7" s="24" t="str">
        <x:v>Ratio</x:v>
      </x:c>
      <x:c r="B7" s="24" t="str">
        <x:v>比率 / 佔比</x:v>
      </x:c>
      <x:c r="C7" s="24" t="str">
        <x:v>兩個不同概念數值相除，非跨期成長率。</x:v>
      </x:c>
      <x:c r="D7" s="24" t="str">
        <x:v>part / total</x:v>
      </x:c>
      <x:c r="E7" s="24" t="str">
        <x:v>分子與分母必須同期間且單位一致；輸出 % 時乘以 100。</x:v>
      </x:c>
      <x:c r="F7" s="24" t="str">
        <x:v>114年流動資產占資產總計的比例為何？</x:v>
      </x:c>
    </x:row>
    <x:row r="8" ht="26.399999618530273" hidden="0" customHeight="1">
      <x:c r="A8" s="24" t="str">
        <x:v>Logic</x:v>
      </x:c>
      <x:c r="B8" s="24" t="str">
        <x:v>邏輯判斷</x:v>
      </x:c>
      <x:c r="C8" s="24" t="str">
        <x:v>回答 Yes/No 或判斷是否符合條件。</x:v>
      </x:c>
      <x:c r="D8" s="24" t="str">
        <x:v>if value &gt; threshold / == / &lt; 0</x:v>
      </x:c>
      <x:c r="E8" s="24" t="str">
        <x:v>條件需可由財報數值確定判斷，不使用主觀語意。</x:v>
      </x:c>
      <x:c r="F8" s="24" t="str">
        <x:v>114年度的其他綜合損益淨額是否為負數？</x:v>
      </x:c>
    </x:row>
    <x:row r="9" ht="26.399999618530273" hidden="0" customHeight="1">
      <x:c r="A9" s="24" t="str">
        <x:v>Arithmetic</x:v>
      </x:c>
      <x:c r="B9" s="24" t="str">
        <x:v>基礎運算</x:v>
      </x:c>
      <x:c r="C9" s="24" t="str">
        <x:v>簡單加、減、平均等，不屬於特定財務比率或成長率。</x:v>
      </x:c>
      <x:c r="D9" s="24" t="str">
        <x:v>a+b, a-b, avg()</x:v>
      </x:c>
      <x:c r="E9" s="24" t="str">
        <x:v>以簡明財報中可直接取得的數值運算；不得引入外部假設。</x:v>
      </x:c>
      <x:c r="F9" s="24" t="str">
        <x:v>112至114年度的平均營業收入為多少？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e3aa551cb5e41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2" hidden="0" customWidth="1"/>
    <x:col min="5" max="5" width="48" hidden="0" customWidth="1"/>
    <x:col min="6" max="6" width="30" hidden="0" customWidth="1"/>
    <x:col min="7" max="7" width="38" hidden="0" customWidth="1"/>
  </x:cols>
  <x:sheetData>
    <x:row r="1">
      <x:c r="A1" s="4" t="str">
        <x:v>Validation Rules — Simplified Financial QA Dataset v1</x:v>
      </x:c>
      <x:c r="B1" s="4"/>
      <x:c r="C1" s="4"/>
      <x:c r="D1" s="4"/>
      <x:c r="E1" s="4"/>
      <x:c r="F1" s="4"/>
      <x:c r="G1" s="4"/>
    </x:row>
    <x:row r="3" ht="15" hidden="0" customHeight="1">
      <x:c r="A3" s="18" t="str">
        <x:v>Rule_ID</x:v>
      </x:c>
      <x:c r="B3" s="18" t="str">
        <x:v>Category</x:v>
      </x:c>
      <x:c r="C3" s="18" t="str">
        <x:v>Validation_Type</x:v>
      </x:c>
      <x:c r="D3" s="18" t="str">
        <x:v>Severity</x:v>
      </x:c>
      <x:c r="E3" s="18" t="str">
        <x:v>Rule</x:v>
      </x:c>
      <x:c r="F3" s="18" t="str">
        <x:v>Failure_Action</x:v>
      </x:c>
      <x:c r="G3" s="18" t="str">
        <x:v>Rationale</x:v>
      </x:c>
    </x:row>
    <x:row r="4" ht="26.399999618530273" hidden="0" customHeight="1">
      <x:c r="A4" s="24" t="str">
        <x:v>SCOPE-01</x:v>
      </x:c>
      <x:c r="B4" s="24" t="str">
        <x:v>Corpus Scope</x:v>
      </x:c>
      <x:c r="C4" s="24" t="str">
        <x:v>Deterministic</x:v>
      </x:c>
      <x:c r="D4" s="24" t="str">
        <x:v>Blocker</x:v>
      </x:c>
      <x:c r="E4" s="24" t="str">
        <x:v>僅允許使用簡明資產負債表與簡明綜合損益表中的 Concept。</x:v>
      </x:c>
      <x:c r="F4" s="24" t="str">
        <x:v>標記 Out_of_Scope，不生成答案。</x:v>
      </x:c>
      <x:c r="G4" s="24" t="str">
        <x:v>隔離附註、產業特有細項與其他報表造成的變因。</x:v>
      </x:c>
    </x:row>
    <x:row r="5" ht="26.399999618530273" hidden="0" customHeight="1">
      <x:c r="A5" s="24" t="str">
        <x:v>SCOPE-02</x:v>
      </x:c>
      <x:c r="B5" s="24" t="str">
        <x:v>Corpus Scope</x:v>
      </x:c>
      <x:c r="C5" s="24" t="str">
        <x:v>Deterministic</x:v>
      </x:c>
      <x:c r="D5" s="24" t="str">
        <x:v>Blocker</x:v>
      </x:c>
      <x:c r="E5" s="24" t="str">
        <x:v>不得使用現金流量表、附註、地區別、客戶別、產品別、退休金、衍生工具等資料。</x:v>
      </x:c>
      <x:c r="F5" s="24" t="str">
        <x:v>標記 Out_of_Scope。</x:v>
      </x:c>
      <x:c r="G5" s="24" t="str">
        <x:v>維持本研究 Simplified-FS 邊界。</x:v>
      </x:c>
    </x:row>
    <x:row r="6" ht="26.399999618530273" hidden="0" customHeight="1">
      <x:c r="A6" s="24" t="str">
        <x:v>TIME-01</x:v>
      </x:c>
      <x:c r="B6" s="24" t="str">
        <x:v>Time</x:v>
      </x:c>
      <x:c r="C6" s="24" t="str">
        <x:v>Deterministic</x:v>
      </x:c>
      <x:c r="D6" s="24" t="str">
        <x:v>Blocker</x:v>
      </x:c>
      <x:c r="E6" s="24" t="str">
        <x:v>目前 Question Bank 僅使用 ROC 112–114 年（2023–2025）。</x:v>
      </x:c>
      <x:c r="F6" s="24" t="str">
        <x:v>退回修正 Time。</x:v>
      </x:c>
      <x:c r="G6" s="24" t="str">
        <x:v>確保所有題目均可由目前 Financial Fact Store 回答。</x:v>
      </x:c>
    </x:row>
    <x:row r="7" ht="26.399999618530273" hidden="0" customHeight="1">
      <x:c r="A7" s="24" t="str">
        <x:v>EVID-01</x:v>
      </x:c>
      <x:c r="B7" s="24" t="str">
        <x:v>Evidence</x:v>
      </x:c>
      <x:c r="C7" s="24" t="str">
        <x:v>Deterministic</x:v>
      </x:c>
      <x:c r="D7" s="24" t="str">
        <x:v>Blocker</x:v>
      </x:c>
      <x:c r="E7" s="24" t="str">
        <x:v>Required_Items 中每個項目都必須存在於 02_Financial_Facts。</x:v>
      </x:c>
      <x:c r="F7" s="24" t="str">
        <x:v>退回題目設計。</x:v>
      </x:c>
      <x:c r="G7" s="24" t="str">
        <x:v>避免問題要求資料庫不存在的科目。</x:v>
      </x:c>
    </x:row>
    <x:row r="8" ht="26.399999618530273" hidden="0" customHeight="1">
      <x:c r="A8" s="24" t="str">
        <x:v>UNIT-01</x:v>
      </x:c>
      <x:c r="B8" s="24" t="str">
        <x:v>Unit</x:v>
      </x:c>
      <x:c r="C8" s="24" t="str">
        <x:v>Deterministic</x:v>
      </x:c>
      <x:c r="D8" s="24" t="str">
        <x:v>Major</x:v>
      </x:c>
      <x:c r="E8" s="24" t="str">
        <x:v>貨幣數值預設單位為新臺幣仟元；每股盈餘與每股淨值為元；股數為股。</x:v>
      </x:c>
      <x:c r="F8" s="24" t="str">
        <x:v>退回單位修正。</x:v>
      </x:c>
      <x:c r="G8" s="24" t="str">
        <x:v>避免單位轉換錯誤。</x:v>
      </x:c>
    </x:row>
    <x:row r="9" ht="15" hidden="0" customHeight="1">
      <x:c r="A9" s="24" t="str">
        <x:v>NULL-01</x:v>
      </x:c>
      <x:c r="B9" s="24" t="str">
        <x:v>Missing Value</x:v>
      </x:c>
      <x:c r="C9" s="24" t="str">
        <x:v>Deterministic</x:v>
      </x:c>
      <x:c r="D9" s="24" t="str">
        <x:v>Major</x:v>
      </x:c>
      <x:c r="E9" s="24" t="str">
        <x:v>財報中的 '-' 不等同於 0；僅明確揭露 0 才可視為零值。</x:v>
      </x:c>
      <x:c r="F9" s="24" t="str">
        <x:v>停止計算或改題。</x:v>
      </x:c>
      <x:c r="G9" s="24" t="str">
        <x:v>避免把未揭露誤當零。</x:v>
      </x:c>
    </x:row>
    <x:row r="10" ht="15" hidden="0" customHeight="1">
      <x:c r="A10" s="24" t="str">
        <x:v>TYPE-01</x:v>
      </x:c>
      <x:c r="B10" s="24" t="str">
        <x:v>Question Type</x:v>
      </x:c>
      <x:c r="C10" s="24" t="str">
        <x:v>Deterministic</x:v>
      </x:c>
      <x:c r="D10" s="24" t="str">
        <x:v>Major</x:v>
      </x:c>
      <x:c r="E10" s="24" t="str">
        <x:v>Single-Fact 不得包含計算。</x:v>
      </x:c>
      <x:c r="F10" s="24" t="str">
        <x:v>重新分類或改題。</x:v>
      </x:c>
      <x:c r="G10" s="24" t="str">
        <x:v>維持類型邊界。</x:v>
      </x:c>
    </x:row>
    <x:row r="11" ht="26.399999618530273" hidden="0" customHeight="1">
      <x:c r="A11" s="24" t="str">
        <x:v>TYPE-02</x:v>
      </x:c>
      <x:c r="B11" s="24" t="str">
        <x:v>Question Type</x:v>
      </x:c>
      <x:c r="C11" s="24" t="str">
        <x:v>Deterministic</x:v>
      </x:c>
      <x:c r="D11" s="24" t="str">
        <x:v>Major</x:v>
      </x:c>
      <x:c r="E11" s="24" t="str">
        <x:v>Growth_Rate 必須採 (new-old)/old；Ratio 不得使用跨期成長公式。</x:v>
      </x:c>
      <x:c r="F11" s="24" t="str">
        <x:v>重新分類或修公式。</x:v>
      </x:c>
      <x:c r="G11" s="24" t="str">
        <x:v>避免 Growth_Rate 與 Ratio 混淆。</x:v>
      </x:c>
    </x:row>
    <x:row r="12" ht="15" hidden="0" customHeight="1">
      <x:c r="A12" s="24" t="str">
        <x:v>TYPE-03</x:v>
      </x:c>
      <x:c r="B12" s="24" t="str">
        <x:v>Question Type</x:v>
      </x:c>
      <x:c r="C12" s="24" t="str">
        <x:v>Deterministic</x:v>
      </x:c>
      <x:c r="D12" s="24" t="str">
        <x:v>Major</x:v>
      </x:c>
      <x:c r="E12" s="24" t="str">
        <x:v>Comparison 至少需要 2 個可比較數值。</x:v>
      </x:c>
      <x:c r="F12" s="24" t="str">
        <x:v>退回題目設計。</x:v>
      </x:c>
      <x:c r="G12" s="24" t="str">
        <x:v>確保 max/min 有意義。</x:v>
      </x:c>
    </x:row>
    <x:row r="13" ht="15" hidden="0" customHeight="1">
      <x:c r="A13" s="24" t="str">
        <x:v>TYPE-04</x:v>
      </x:c>
      <x:c r="B13" s="24" t="str">
        <x:v>Question Type</x:v>
      </x:c>
      <x:c r="C13" s="24" t="str">
        <x:v>Deterministic</x:v>
      </x:c>
      <x:c r="D13" s="24" t="str">
        <x:v>Major</x:v>
      </x:c>
      <x:c r="E13" s="24" t="str">
        <x:v>Logic 的最終輸出必須為 Yes/No 或明確條件判斷。</x:v>
      </x:c>
      <x:c r="F13" s="24" t="str">
        <x:v>重新分類或改題。</x:v>
      </x:c>
      <x:c r="G13" s="24" t="str">
        <x:v>維持 Logic 定義。</x:v>
      </x:c>
    </x:row>
    <x:row r="14" ht="26.399999618530273" hidden="0" customHeight="1">
      <x:c r="A14" s="24" t="str">
        <x:v>SEM-01</x:v>
      </x:c>
      <x:c r="B14" s="24" t="str">
        <x:v>Semantic Preservation</x:v>
      </x:c>
      <x:c r="C14" s="24" t="str">
        <x:v>Human/LLM Judge</x:v>
      </x:c>
      <x:c r="D14" s="24" t="str">
        <x:v>Major</x:v>
      </x:c>
      <x:c r="E14" s="24" t="str">
        <x:v>題目不得引入簡明財報中不存在的 Filter、實體或限制維度。</x:v>
      </x:c>
      <x:c r="F14" s="24" t="str">
        <x:v>改題或標記 Out_of_Scope。</x:v>
      </x:c>
      <x:c r="G14" s="24" t="str">
        <x:v>避免為了湊題而改變資料語意。</x:v>
      </x:c>
    </x:row>
    <x:row r="15" ht="15" hidden="0" customHeight="1">
      <x:c r="A15" s="24" t="str">
        <x:v>GOLD-01</x:v>
      </x:c>
      <x:c r="B15" s="24" t="str">
        <x:v>Golden Context</x:v>
      </x:c>
      <x:c r="C15" s="24" t="str">
        <x:v>Deterministic + Review</x:v>
      </x:c>
      <x:c r="D15" s="24" t="str">
        <x:v>Major</x:v>
      </x:c>
      <x:c r="E15" s="24" t="str">
        <x:v>後續 Golden Context 只保留解題必要的最小財務事實。</x:v>
      </x:c>
      <x:c r="F15" s="24" t="str">
        <x:v>重新擷取 Evidence。</x:v>
      </x:c>
      <x:c r="G15" s="24" t="str">
        <x:v>降低不相關 Context 與洩漏。</x:v>
      </x:c>
    </x:row>
    <x:row r="16" ht="26.399999618530273" hidden="0" customHeight="1">
      <x:c r="A16" s="24" t="str">
        <x:v>POT-01</x:v>
      </x:c>
      <x:c r="B16" s="24" t="str">
        <x:v>Python Solution</x:v>
      </x:c>
      <x:c r="C16" s="24" t="str">
        <x:v>Deterministic</x:v>
      </x:c>
      <x:c r="D16" s="24" t="str">
        <x:v>Blocker</x:v>
      </x:c>
      <x:c r="E16" s="24" t="str">
        <x:v>後續 Python Solution 不使用 Magic Numbers；數值先賦予語意變數。</x:v>
      </x:c>
      <x:c r="F16" s="24" t="str">
        <x:v>退回 Python Solution。</x:v>
      </x:c>
      <x:c r="G16" s="24" t="str">
        <x:v>符合既有 PoT 規格。</x:v>
      </x:c>
    </x:row>
    <x:row r="17" ht="15" hidden="0" customHeight="1">
      <x:c r="A17" s="24" t="str">
        <x:v>POT-02</x:v>
      </x:c>
      <x:c r="B17" s="24" t="str">
        <x:v>Python Solution</x:v>
      </x:c>
      <x:c r="C17" s="24" t="str">
        <x:v>Deterministic</x:v>
      </x:c>
      <x:c r="D17" s="24" t="str">
        <x:v>Blocker</x:v>
      </x:c>
      <x:c r="E17" s="24" t="str">
        <x:v>Python 執行結果必須與 Answer 一致。</x:v>
      </x:c>
      <x:c r="F17" s="24" t="str">
        <x:v>Retry / Block completion。</x:v>
      </x:c>
      <x:c r="G17" s="24" t="str">
        <x:v>確保可重現性。</x:v>
      </x:c>
    </x:row>
    <x:row r="18" ht="26.399999618530273" hidden="0" customHeight="1">
      <x:c r="A18" s="24" t="str">
        <x:v>REVIEW-01</x:v>
      </x:c>
      <x:c r="B18" s="24" t="str">
        <x:v>Dataset Governance</x:v>
      </x:c>
      <x:c r="C18" s="24" t="str">
        <x:v>Human Review</x:v>
      </x:c>
      <x:c r="D18" s="24" t="str">
        <x:v>Major</x:v>
      </x:c>
      <x:c r="E18" s="24" t="str">
        <x:v>所有新建題目初始 Review_Status=Draft；人工確認後才可設為 Approved。</x:v>
      </x:c>
      <x:c r="F18" s="24" t="str">
        <x:v>維持 Draft 或 Revise。</x:v>
      </x:c>
      <x:c r="G18" s="24" t="str">
        <x:v>避免未審題目直接成為 Gold。</x:v>
      </x:c>
    </x:row>
    <x:row r="19">
      <x:c r="A19" t="str">
        <x:v>GOLD-02</x:v>
      </x:c>
      <x:c r="B19" t="str">
        <x:v>Golden Context</x:v>
      </x:c>
      <x:c r="C19" t="str">
        <x:v>Deterministic + Review</x:v>
      </x:c>
      <x:c r="D19" t="str">
        <x:v>Major</x:v>
      </x:c>
      <x:c r="E19" t="str">
        <x:v>除 Single-Fact 外，Golden Context 僅提供執行題目指定 Logic 所需的 operands/candidates；若另有直接等於最終答案的衍生列項，不主動納入。</x:v>
      </x:c>
      <x:c r="F19" t="str">
        <x:v>重新擷取 Evidence。</x:v>
      </x:c>
      <x:c r="G19" t="str">
        <x:v>降低直接答案洩漏，確保 Growth/Ratio/Arithmetic/Comparison/Logic 真的需要執行指定推理。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992a55317df49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4" hidden="0" customWidth="1"/>
    <x:col min="5" max="5" width="16" hidden="0" customWidth="1"/>
    <x:col min="6" max="6" width="48" hidden="0" customWidth="1"/>
    <x:col min="7" max="7" width="28" hidden="0" customWidth="1"/>
    <x:col min="9" max="9" width="20" hidden="0" customWidth="1"/>
    <x:col min="10" max="10" width="48" hidden="0" customWidth="1"/>
  </x:cols>
  <x:sheetData>
    <x:row r="1" ht="16.799999237060547" hidden="0" customHeight="1">
      <x:c r="A1" s="32" t="str">
        <x:v>Question Bank 第一輪人工審查結果</x:v>
      </x:c>
      <x:c r="B1" s="32"/>
      <x:c r="C1" s="32"/>
      <x:c r="D1" s="32"/>
      <x:c r="E1" s="32"/>
      <x:c r="F1" s="32"/>
      <x:c r="G1" s="32"/>
      <x:c r="I1" s="40" t="str">
        <x:v>審查摘要</x:v>
      </x:c>
      <x:c r="J1" s="40" t="str">
        <x:v>數量</x:v>
      </x:c>
    </x:row>
    <x:row r="2" ht="26.399999618530273" hidden="0" customHeight="1">
      <x:c r="A2" s="35" t="str">
        <x:v>審查重點：Corpus Scope、Question Type、期間語意、Required Items、題目自然度與明顯語意風險。</x:v>
      </x:c>
      <x:c r="B2" s="35"/>
      <x:c r="C2" s="35"/>
      <x:c r="D2" s="35"/>
      <x:c r="E2" s="35"/>
      <x:c r="F2" s="35"/>
      <x:c r="G2" s="35"/>
      <x:c r="I2" t="str">
        <x:v>總題數</x:v>
      </x:c>
      <x:c r="J2" t="n">
        <x:v>60</x:v>
      </x:c>
    </x:row>
    <x:row r="3" ht="15" hidden="0" customHeight="1">
      <x:c r="I3" t="str">
        <x:v>原樣通過</x:v>
      </x:c>
      <x:c r="J3" t="n">
        <x:v>50</x:v>
      </x:c>
    </x:row>
    <x:row r="4" ht="26.399999618530273" hidden="0" customHeight="1">
      <x:c r="A4" s="40" t="str">
        <x:v>Question_ID</x:v>
      </x:c>
      <x:c r="B4" s="40" t="str">
        <x:v>Question_Type</x:v>
      </x:c>
      <x:c r="C4" s="40" t="str">
        <x:v>Review_Result</x:v>
      </x:c>
      <x:c r="D4" s="40" t="str">
        <x:v>Issue_Type</x:v>
      </x:c>
      <x:c r="E4" s="40" t="str">
        <x:v>Action</x:v>
      </x:c>
      <x:c r="F4" s="40" t="str">
        <x:v>Review_Comment</x:v>
      </x:c>
      <x:c r="G4" s="40" t="str">
        <x:v>Primary_Change</x:v>
      </x:c>
      <x:c r="I4" t="str">
        <x:v>修訂後通過</x:v>
      </x:c>
      <x:c r="J4" t="n">
        <x:v>10</x:v>
      </x:c>
    </x:row>
    <x:row r="5" ht="66" hidden="0" customHeight="1">
      <x:c r="A5" s="24" t="str">
        <x:v>SF01</x:v>
      </x:c>
      <x:c r="B5" s="24" t="str">
        <x:v>Single-Fact</x:v>
      </x:c>
      <x:c r="C5" s="24" t="str">
        <x:v>Approved</x:v>
      </x:c>
      <x:c r="D5" s="24" t="str">
        <x:v>None</x:v>
      </x:c>
      <x:c r="E5" s="24" t="str">
        <x:v>No change</x:v>
      </x:c>
      <x:c r="F5" s="24" t="str">
        <x:v>符合目前 Simplified-FS 範圍與題型定義。</x:v>
      </x:c>
      <x:c r="G5" s="24" t="str">
        <x:v>-</x:v>
      </x:c>
      <x:c r="I5" t="str">
        <x:v>需再次退回</x:v>
      </x:c>
      <x:c r="J5" t="n">
        <x:v>0</x:v>
      </x:c>
    </x:row>
    <x:row r="6" ht="92.4000015258789" hidden="0" customHeight="1">
      <x:c r="A6" s="24" t="str">
        <x:v>SF02</x:v>
      </x:c>
      <x:c r="B6" s="24" t="str">
        <x:v>Single-Fact</x:v>
      </x:c>
      <x:c r="C6" s="24" t="str">
        <x:v>Approved after revision</x:v>
      </x:c>
      <x:c r="D6" s="24" t="str">
        <x:v>Time Semantics / Wording</x:v>
      </x:c>
      <x:c r="E6" s="24" t="str">
        <x:v>Revised</x:v>
      </x:c>
      <x:c r="F6" s="24" t="str">
        <x:v>資產總計屬時點項目，中文題目改為明確標示12月31日。</x:v>
      </x:c>
      <x:c r="G6" s="24" t="str">
        <x:v>修正題目文字</x:v>
      </x:c>
    </x:row>
    <x:row r="7" ht="66" hidden="0" customHeight="1">
      <x:c r="A7" s="24" t="str">
        <x:v>SF03</x:v>
      </x:c>
      <x:c r="B7" s="24" t="str">
        <x:v>Single-Fact</x:v>
      </x:c>
      <x:c r="C7" s="24" t="str">
        <x:v>Approved</x:v>
      </x:c>
      <x:c r="D7" s="24" t="str">
        <x:v>None</x:v>
      </x:c>
      <x:c r="E7" s="24" t="str">
        <x:v>No change</x:v>
      </x:c>
      <x:c r="F7" s="24" t="str">
        <x:v>符合目前 Simplified-FS 範圍與題型定義。</x:v>
      </x:c>
      <x:c r="G7" s="24" t="str">
        <x:v>-</x:v>
      </x:c>
      <x:c r="I7" s="40" t="str">
        <x:v>重要研究備註</x:v>
      </x:c>
      <x:c r="J7" s="40" t="str"/>
    </x:row>
    <x:row r="8" ht="66" hidden="0" customHeight="1">
      <x:c r="A8" s="24" t="str">
        <x:v>SF04</x:v>
      </x:c>
      <x:c r="B8" s="24" t="str">
        <x:v>Single-Fact</x:v>
      </x:c>
      <x:c r="C8" s="24" t="str">
        <x:v>Approved</x:v>
      </x:c>
      <x:c r="D8" s="24" t="str">
        <x:v>None</x:v>
      </x:c>
      <x:c r="E8" s="24" t="str">
        <x:v>No change</x:v>
      </x:c>
      <x:c r="F8" s="24" t="str">
        <x:v>符合目前 Simplified-FS 範圍與題型定義。</x:v>
      </x:c>
      <x:c r="G8" s="24" t="str">
        <x:v>-</x:v>
      </x:c>
      <x:c r="I8" t="str">
        <x:v>Difficulty</x:v>
      </x:c>
      <x:c r="J8" t="str">
        <x:v>目前僅作分層抽樣 metadata，不建議作為主要成效指標。</x:v>
      </x:c>
    </x:row>
    <x:row r="9" ht="66" hidden="0" customHeight="1">
      <x:c r="A9" s="24" t="str">
        <x:v>SF05</x:v>
      </x:c>
      <x:c r="B9" s="24" t="str">
        <x:v>Single-Fact</x:v>
      </x:c>
      <x:c r="C9" s="24" t="str">
        <x:v>Approved</x:v>
      </x:c>
      <x:c r="D9" s="24" t="str">
        <x:v>None</x:v>
      </x:c>
      <x:c r="E9" s="24" t="str">
        <x:v>No change</x:v>
      </x:c>
      <x:c r="F9" s="24" t="str">
        <x:v>符合目前 Simplified-FS 範圍與題型定義。</x:v>
      </x:c>
      <x:c r="G9" s="24" t="str">
        <x:v>-</x:v>
      </x:c>
      <x:c r="I9" t="str">
        <x:v>Single-Fact Hard</x:v>
      </x:c>
      <x:c r="J9" t="str">
        <x:v>Hard 代表較長/較特定的財報列項名稱，不代表多步推理。</x:v>
      </x:c>
    </x:row>
    <x:row r="10" ht="66" hidden="0" customHeight="1">
      <x:c r="A10" s="24" t="str">
        <x:v>SF06</x:v>
      </x:c>
      <x:c r="B10" s="24" t="str">
        <x:v>Single-Fact</x:v>
      </x:c>
      <x:c r="C10" s="24" t="str">
        <x:v>Approved</x:v>
      </x:c>
      <x:c r="D10" s="24" t="str">
        <x:v>None</x:v>
      </x:c>
      <x:c r="E10" s="24" t="str">
        <x:v>No change</x:v>
      </x:c>
      <x:c r="F10" s="24" t="str">
        <x:v>符合目前 Simplified-FS 範圍與題型定義。</x:v>
      </x:c>
      <x:c r="G10" s="24" t="str">
        <x:v>-</x:v>
      </x:c>
      <x:c r="I10" t="str">
        <x:v>Evidence</x:v>
      </x:c>
      <x:c r="J10" t="str">
        <x:v>非 Single-Fact 題型後續 Golden Context 僅應提供完成指定 Logic 所需的 operands/candidates。</x:v>
      </x:c>
    </x:row>
    <x:row r="11" ht="66" hidden="0" customHeight="1">
      <x:c r="A11" s="24" t="str">
        <x:v>SF07</x:v>
      </x:c>
      <x:c r="B11" s="24" t="str">
        <x:v>Single-Fact</x:v>
      </x:c>
      <x:c r="C11" s="24" t="str">
        <x:v>Approved</x:v>
      </x:c>
      <x:c r="D11" s="24" t="str">
        <x:v>None</x:v>
      </x:c>
      <x:c r="E11" s="24" t="str">
        <x:v>No change</x:v>
      </x:c>
      <x:c r="F11" s="24" t="str">
        <x:v>符合目前 Simplified-FS 範圍與題型定義。</x:v>
      </x:c>
      <x:c r="G11" s="24" t="str">
        <x:v>-</x:v>
      </x:c>
      <x:c r="I11" t="str">
        <x:v>Scope</x:v>
      </x:c>
      <x:c r="J11" t="str">
        <x:v>所有題目維持簡明資產負債表 + 簡明綜合損益表，不使用附註或特有科目。</x:v>
      </x:c>
    </x:row>
    <x:row r="12" ht="66" hidden="0" customHeight="1">
      <x:c r="A12" s="24" t="str">
        <x:v>SF08</x:v>
      </x:c>
      <x:c r="B12" s="24" t="str">
        <x:v>Single-Fact</x:v>
      </x:c>
      <x:c r="C12" s="24" t="str">
        <x:v>Approved</x:v>
      </x:c>
      <x:c r="D12" s="24" t="str">
        <x:v>None</x:v>
      </x:c>
      <x:c r="E12" s="24" t="str">
        <x:v>No change</x:v>
      </x:c>
      <x:c r="F12" s="24" t="str">
        <x:v>符合目前 Simplified-FS 範圍與題型定義。</x:v>
      </x:c>
      <x:c r="G12" s="24" t="str">
        <x:v>-</x:v>
      </x:c>
    </x:row>
    <x:row r="13" ht="66" hidden="0" customHeight="1">
      <x:c r="A13" s="24" t="str">
        <x:v>SF09</x:v>
      </x:c>
      <x:c r="B13" s="24" t="str">
        <x:v>Single-Fact</x:v>
      </x:c>
      <x:c r="C13" s="24" t="str">
        <x:v>Approved</x:v>
      </x:c>
      <x:c r="D13" s="24" t="str">
        <x:v>None</x:v>
      </x:c>
      <x:c r="E13" s="24" t="str">
        <x:v>No change</x:v>
      </x:c>
      <x:c r="F13" s="24" t="str">
        <x:v>符合目前 Simplified-FS 範圍與題型定義。</x:v>
      </x:c>
      <x:c r="G13" s="24" t="str">
        <x:v>-</x:v>
      </x:c>
    </x:row>
    <x:row r="14" ht="105.5999984741211" hidden="0" customHeight="1">
      <x:c r="A14" s="24" t="str">
        <x:v>SF10</x:v>
      </x:c>
      <x:c r="B14" s="24" t="str">
        <x:v>Single-Fact</x:v>
      </x:c>
      <x:c r="C14" s="24" t="str">
        <x:v>Approved after revision</x:v>
      </x:c>
      <x:c r="D14" s="24" t="str">
        <x:v>Time Semantics / Wording</x:v>
      </x:c>
      <x:c r="E14" s="24" t="str">
        <x:v>Revised</x:v>
      </x:c>
      <x:c r="F14" s="24" t="str">
        <x:v>英文移除不必要的 'in equity'，避免將財報列項誤解為額外 Filter。</x:v>
      </x:c>
      <x:c r="G14" s="24" t="str">
        <x:v>修正題目文字</x:v>
      </x:c>
    </x:row>
    <x:row r="15" ht="66" hidden="0" customHeight="1">
      <x:c r="A15" s="24" t="str">
        <x:v>CP01</x:v>
      </x:c>
      <x:c r="B15" s="24" t="str">
        <x:v>Comparison</x:v>
      </x:c>
      <x:c r="C15" s="24" t="str">
        <x:v>Approved</x:v>
      </x:c>
      <x:c r="D15" s="24" t="str">
        <x:v>None</x:v>
      </x:c>
      <x:c r="E15" s="24" t="str">
        <x:v>No change</x:v>
      </x:c>
      <x:c r="F15" s="24" t="str">
        <x:v>符合目前 Simplified-FS 範圍與題型定義。</x:v>
      </x:c>
      <x:c r="G15" s="24" t="str">
        <x:v>-</x:v>
      </x:c>
    </x:row>
    <x:row r="16" ht="66" hidden="0" customHeight="1">
      <x:c r="A16" s="24" t="str">
        <x:v>CP02</x:v>
      </x:c>
      <x:c r="B16" s="24" t="str">
        <x:v>Comparison</x:v>
      </x:c>
      <x:c r="C16" s="24" t="str">
        <x:v>Approved</x:v>
      </x:c>
      <x:c r="D16" s="24" t="str">
        <x:v>None</x:v>
      </x:c>
      <x:c r="E16" s="24" t="str">
        <x:v>No change</x:v>
      </x:c>
      <x:c r="F16" s="24" t="str">
        <x:v>符合目前 Simplified-FS 範圍與題型定義。</x:v>
      </x:c>
      <x:c r="G16" s="24" t="str">
        <x:v>-</x:v>
      </x:c>
    </x:row>
    <x:row r="17" ht="79.19999694824219" hidden="0" customHeight="1">
      <x:c r="A17" s="24" t="str">
        <x:v>CP03</x:v>
      </x:c>
      <x:c r="B17" s="24" t="str">
        <x:v>Comparison</x:v>
      </x:c>
      <x:c r="C17" s="24" t="str">
        <x:v>Approved after revision</x:v>
      </x:c>
      <x:c r="D17" s="24" t="str">
        <x:v>Time Semantics / Wording</x:v>
      </x:c>
      <x:c r="E17" s="24" t="str">
        <x:v>Revised</x:v>
      </x:c>
      <x:c r="F17" s="24" t="str">
        <x:v>資產總計為時點項目，明確限定各年12月31日。</x:v>
      </x:c>
      <x:c r="G17" s="24" t="str">
        <x:v>修正題目文字</x:v>
      </x:c>
    </x:row>
    <x:row r="18" ht="79.19999694824219" hidden="0" customHeight="1">
      <x:c r="A18" s="24" t="str">
        <x:v>CP04</x:v>
      </x:c>
      <x:c r="B18" s="24" t="str">
        <x:v>Comparison</x:v>
      </x:c>
      <x:c r="C18" s="24" t="str">
        <x:v>Approved after revision</x:v>
      </x:c>
      <x:c r="D18" s="24" t="str">
        <x:v>Time Semantics / Wording</x:v>
      </x:c>
      <x:c r="E18" s="24" t="str">
        <x:v>Revised</x:v>
      </x:c>
      <x:c r="F18" s="24" t="str">
        <x:v>負債總計為時點項目，明確限定各年12月31日。</x:v>
      </x:c>
      <x:c r="G18" s="24" t="str">
        <x:v>修正題目文字</x:v>
      </x:c>
    </x:row>
    <x:row r="19" ht="79.19999694824219" hidden="0" customHeight="1">
      <x:c r="A19" s="24" t="str">
        <x:v>CP05</x:v>
      </x:c>
      <x:c r="B19" s="24" t="str">
        <x:v>Comparison</x:v>
      </x:c>
      <x:c r="C19" s="24" t="str">
        <x:v>Approved after revision</x:v>
      </x:c>
      <x:c r="D19" s="24" t="str">
        <x:v>Time Semantics / Wording</x:v>
      </x:c>
      <x:c r="E19" s="24" t="str">
        <x:v>Revised</x:v>
      </x:c>
      <x:c r="F19" s="24" t="str">
        <x:v>權益總計為時點項目，明確限定各年12月31日。</x:v>
      </x:c>
      <x:c r="G19" s="24" t="str">
        <x:v>修正題目文字</x:v>
      </x:c>
    </x:row>
    <x:row r="20" ht="79.19999694824219" hidden="0" customHeight="1">
      <x:c r="A20" s="24" t="str">
        <x:v>CP06</x:v>
      </x:c>
      <x:c r="B20" s="24" t="str">
        <x:v>Comparison</x:v>
      </x:c>
      <x:c r="C20" s="24" t="str">
        <x:v>Approved after revision</x:v>
      </x:c>
      <x:c r="D20" s="24" t="str">
        <x:v>Time Semantics / Wording</x:v>
      </x:c>
      <x:c r="E20" s="24" t="str">
        <x:v>Revised</x:v>
      </x:c>
      <x:c r="F20" s="24" t="str">
        <x:v>流動資產為時點項目，明確限定各年12月31日。</x:v>
      </x:c>
      <x:c r="G20" s="24" t="str">
        <x:v>修正題目文字</x:v>
      </x:c>
    </x:row>
    <x:row r="21" ht="66" hidden="0" customHeight="1">
      <x:c r="A21" s="24" t="str">
        <x:v>CP07</x:v>
      </x:c>
      <x:c r="B21" s="24" t="str">
        <x:v>Comparison</x:v>
      </x:c>
      <x:c r="C21" s="24" t="str">
        <x:v>Approved</x:v>
      </x:c>
      <x:c r="D21" s="24" t="str">
        <x:v>None</x:v>
      </x:c>
      <x:c r="E21" s="24" t="str">
        <x:v>No change</x:v>
      </x:c>
      <x:c r="F21" s="24" t="str">
        <x:v>符合目前 Simplified-FS 範圍與題型定義。</x:v>
      </x:c>
      <x:c r="G21" s="24" t="str">
        <x:v>-</x:v>
      </x:c>
    </x:row>
    <x:row r="22" ht="66" hidden="0" customHeight="1">
      <x:c r="A22" s="24" t="str">
        <x:v>CP08</x:v>
      </x:c>
      <x:c r="B22" s="24" t="str">
        <x:v>Comparison</x:v>
      </x:c>
      <x:c r="C22" s="24" t="str">
        <x:v>Approved</x:v>
      </x:c>
      <x:c r="D22" s="24" t="str">
        <x:v>None</x:v>
      </x:c>
      <x:c r="E22" s="24" t="str">
        <x:v>No change</x:v>
      </x:c>
      <x:c r="F22" s="24" t="str">
        <x:v>符合目前 Simplified-FS 範圍與題型定義。</x:v>
      </x:c>
      <x:c r="G22" s="24" t="str">
        <x:v>-</x:v>
      </x:c>
    </x:row>
    <x:row r="23" ht="66" hidden="0" customHeight="1">
      <x:c r="A23" s="24" t="str">
        <x:v>CP09</x:v>
      </x:c>
      <x:c r="B23" s="24" t="str">
        <x:v>Comparison</x:v>
      </x:c>
      <x:c r="C23" s="24" t="str">
        <x:v>Approved</x:v>
      </x:c>
      <x:c r="D23" s="24" t="str">
        <x:v>None</x:v>
      </x:c>
      <x:c r="E23" s="24" t="str">
        <x:v>No change</x:v>
      </x:c>
      <x:c r="F23" s="24" t="str">
        <x:v>符合目前 Simplified-FS 範圍與題型定義。</x:v>
      </x:c>
      <x:c r="G23" s="24" t="str">
        <x:v>-</x:v>
      </x:c>
    </x:row>
    <x:row r="24" ht="66" hidden="0" customHeight="1">
      <x:c r="A24" s="24" t="str">
        <x:v>CP10</x:v>
      </x:c>
      <x:c r="B24" s="24" t="str">
        <x:v>Comparison</x:v>
      </x:c>
      <x:c r="C24" s="24" t="str">
        <x:v>Approved after revision</x:v>
      </x:c>
      <x:c r="D24" s="24" t="str">
        <x:v>Time Semantics / Wording</x:v>
      </x:c>
      <x:c r="E24" s="24" t="str">
        <x:v>Revised</x:v>
      </x:c>
      <x:c r="F24" s="24" t="str">
        <x:v>權益為時點項目，明確限定各年12月31日。</x:v>
      </x:c>
      <x:c r="G24" s="24" t="str">
        <x:v>修正題目文字</x:v>
      </x:c>
    </x:row>
    <x:row r="25" ht="66" hidden="0" customHeight="1">
      <x:c r="A25" s="24" t="str">
        <x:v>GR01</x:v>
      </x:c>
      <x:c r="B25" s="24" t="str">
        <x:v>Growth_Rate</x:v>
      </x:c>
      <x:c r="C25" s="24" t="str">
        <x:v>Approved</x:v>
      </x:c>
      <x:c r="D25" s="24" t="str">
        <x:v>None</x:v>
      </x:c>
      <x:c r="E25" s="24" t="str">
        <x:v>No change</x:v>
      </x:c>
      <x:c r="F25" s="24" t="str">
        <x:v>符合目前 Simplified-FS 範圍與題型定義。</x:v>
      </x:c>
      <x:c r="G25" s="24" t="str">
        <x:v>-</x:v>
      </x:c>
    </x:row>
    <x:row r="26" ht="66" hidden="0" customHeight="1">
      <x:c r="A26" s="24" t="str">
        <x:v>GR02</x:v>
      </x:c>
      <x:c r="B26" s="24" t="str">
        <x:v>Growth_Rate</x:v>
      </x:c>
      <x:c r="C26" s="24" t="str">
        <x:v>Approved</x:v>
      </x:c>
      <x:c r="D26" s="24" t="str">
        <x:v>None</x:v>
      </x:c>
      <x:c r="E26" s="24" t="str">
        <x:v>No change</x:v>
      </x:c>
      <x:c r="F26" s="24" t="str">
        <x:v>符合目前 Simplified-FS 範圍與題型定義。</x:v>
      </x:c>
      <x:c r="G26" s="24" t="str">
        <x:v>-</x:v>
      </x:c>
    </x:row>
    <x:row r="27" ht="66" hidden="0" customHeight="1">
      <x:c r="A27" s="24" t="str">
        <x:v>GR03</x:v>
      </x:c>
      <x:c r="B27" s="24" t="str">
        <x:v>Growth_Rate</x:v>
      </x:c>
      <x:c r="C27" s="24" t="str">
        <x:v>Approved</x:v>
      </x:c>
      <x:c r="D27" s="24" t="str">
        <x:v>None</x:v>
      </x:c>
      <x:c r="E27" s="24" t="str">
        <x:v>No change</x:v>
      </x:c>
      <x:c r="F27" s="24" t="str">
        <x:v>符合目前 Simplified-FS 範圍與題型定義。</x:v>
      </x:c>
      <x:c r="G27" s="24" t="str">
        <x:v>-</x:v>
      </x:c>
    </x:row>
    <x:row r="28" ht="66" hidden="0" customHeight="1">
      <x:c r="A28" s="24" t="str">
        <x:v>GR04</x:v>
      </x:c>
      <x:c r="B28" s="24" t="str">
        <x:v>Growth_Rate</x:v>
      </x:c>
      <x:c r="C28" s="24" t="str">
        <x:v>Approved</x:v>
      </x:c>
      <x:c r="D28" s="24" t="str">
        <x:v>None</x:v>
      </x:c>
      <x:c r="E28" s="24" t="str">
        <x:v>No change</x:v>
      </x:c>
      <x:c r="F28" s="24" t="str">
        <x:v>符合目前 Simplified-FS 範圍與題型定義。</x:v>
      </x:c>
      <x:c r="G28" s="24" t="str">
        <x:v>-</x:v>
      </x:c>
    </x:row>
    <x:row r="29" ht="66" hidden="0" customHeight="1">
      <x:c r="A29" s="24" t="str">
        <x:v>GR05</x:v>
      </x:c>
      <x:c r="B29" s="24" t="str">
        <x:v>Growth_Rate</x:v>
      </x:c>
      <x:c r="C29" s="24" t="str">
        <x:v>Approved</x:v>
      </x:c>
      <x:c r="D29" s="24" t="str">
        <x:v>None</x:v>
      </x:c>
      <x:c r="E29" s="24" t="str">
        <x:v>No change</x:v>
      </x:c>
      <x:c r="F29" s="24" t="str">
        <x:v>符合目前 Simplified-FS 範圍與題型定義。</x:v>
      </x:c>
      <x:c r="G29" s="24" t="str">
        <x:v>-</x:v>
      </x:c>
    </x:row>
    <x:row r="30" ht="66" hidden="0" customHeight="1">
      <x:c r="A30" s="24" t="str">
        <x:v>GR06</x:v>
      </x:c>
      <x:c r="B30" s="24" t="str">
        <x:v>Growth_Rate</x:v>
      </x:c>
      <x:c r="C30" s="24" t="str">
        <x:v>Approved</x:v>
      </x:c>
      <x:c r="D30" s="24" t="str">
        <x:v>None</x:v>
      </x:c>
      <x:c r="E30" s="24" t="str">
        <x:v>No change</x:v>
      </x:c>
      <x:c r="F30" s="24" t="str">
        <x:v>符合目前 Simplified-FS 範圍與題型定義。</x:v>
      </x:c>
      <x:c r="G30" s="24" t="str">
        <x:v>-</x:v>
      </x:c>
    </x:row>
    <x:row r="31" ht="66" hidden="0" customHeight="1">
      <x:c r="A31" s="24" t="str">
        <x:v>GR07</x:v>
      </x:c>
      <x:c r="B31" s="24" t="str">
        <x:v>Growth_Rate</x:v>
      </x:c>
      <x:c r="C31" s="24" t="str">
        <x:v>Approved</x:v>
      </x:c>
      <x:c r="D31" s="24" t="str">
        <x:v>None</x:v>
      </x:c>
      <x:c r="E31" s="24" t="str">
        <x:v>No change</x:v>
      </x:c>
      <x:c r="F31" s="24" t="str">
        <x:v>符合目前 Simplified-FS 範圍與題型定義。</x:v>
      </x:c>
      <x:c r="G31" s="24" t="str">
        <x:v>-</x:v>
      </x:c>
    </x:row>
    <x:row r="32" ht="66" hidden="0" customHeight="1">
      <x:c r="A32" s="24" t="str">
        <x:v>GR08</x:v>
      </x:c>
      <x:c r="B32" s="24" t="str">
        <x:v>Growth_Rate</x:v>
      </x:c>
      <x:c r="C32" s="24" t="str">
        <x:v>Approved</x:v>
      </x:c>
      <x:c r="D32" s="24" t="str">
        <x:v>None</x:v>
      </x:c>
      <x:c r="E32" s="24" t="str">
        <x:v>No change</x:v>
      </x:c>
      <x:c r="F32" s="24" t="str">
        <x:v>符合目前 Simplified-FS 範圍與題型定義。</x:v>
      </x:c>
      <x:c r="G32" s="24" t="str">
        <x:v>-</x:v>
      </x:c>
    </x:row>
    <x:row r="33" ht="66" hidden="0" customHeight="1">
      <x:c r="A33" s="24" t="str">
        <x:v>GR09</x:v>
      </x:c>
      <x:c r="B33" s="24" t="str">
        <x:v>Growth_Rate</x:v>
      </x:c>
      <x:c r="C33" s="24" t="str">
        <x:v>Approved</x:v>
      </x:c>
      <x:c r="D33" s="24" t="str">
        <x:v>None</x:v>
      </x:c>
      <x:c r="E33" s="24" t="str">
        <x:v>No change</x:v>
      </x:c>
      <x:c r="F33" s="24" t="str">
        <x:v>符合目前 Simplified-FS 範圍與題型定義。</x:v>
      </x:c>
      <x:c r="G33" s="24" t="str">
        <x:v>-</x:v>
      </x:c>
    </x:row>
    <x:row r="34" ht="66" hidden="0" customHeight="1">
      <x:c r="A34" s="24" t="str">
        <x:v>GR10</x:v>
      </x:c>
      <x:c r="B34" s="24" t="str">
        <x:v>Growth_Rate</x:v>
      </x:c>
      <x:c r="C34" s="24" t="str">
        <x:v>Approved</x:v>
      </x:c>
      <x:c r="D34" s="24" t="str">
        <x:v>None</x:v>
      </x:c>
      <x:c r="E34" s="24" t="str">
        <x:v>No change</x:v>
      </x:c>
      <x:c r="F34" s="24" t="str">
        <x:v>符合目前 Simplified-FS 範圍與題型定義。</x:v>
      </x:c>
      <x:c r="G34" s="24" t="str">
        <x:v>-</x:v>
      </x:c>
    </x:row>
    <x:row r="35" ht="66" hidden="0" customHeight="1">
      <x:c r="A35" s="24" t="str">
        <x:v>RT01</x:v>
      </x:c>
      <x:c r="B35" s="24" t="str">
        <x:v>Ratio</x:v>
      </x:c>
      <x:c r="C35" s="24" t="str">
        <x:v>Approved</x:v>
      </x:c>
      <x:c r="D35" s="24" t="str">
        <x:v>None</x:v>
      </x:c>
      <x:c r="E35" s="24" t="str">
        <x:v>No change</x:v>
      </x:c>
      <x:c r="F35" s="24" t="str">
        <x:v>符合目前 Simplified-FS 範圍與題型定義。</x:v>
      </x:c>
      <x:c r="G35" s="24" t="str">
        <x:v>-</x:v>
      </x:c>
    </x:row>
    <x:row r="36" ht="66" hidden="0" customHeight="1">
      <x:c r="A36" s="24" t="str">
        <x:v>RT02</x:v>
      </x:c>
      <x:c r="B36" s="24" t="str">
        <x:v>Ratio</x:v>
      </x:c>
      <x:c r="C36" s="24" t="str">
        <x:v>Approved</x:v>
      </x:c>
      <x:c r="D36" s="24" t="str">
        <x:v>None</x:v>
      </x:c>
      <x:c r="E36" s="24" t="str">
        <x:v>No change</x:v>
      </x:c>
      <x:c r="F36" s="24" t="str">
        <x:v>符合目前 Simplified-FS 範圍與題型定義。</x:v>
      </x:c>
      <x:c r="G36" s="24" t="str">
        <x:v>-</x:v>
      </x:c>
    </x:row>
    <x:row r="37" ht="66" hidden="0" customHeight="1">
      <x:c r="A37" s="24" t="str">
        <x:v>RT03</x:v>
      </x:c>
      <x:c r="B37" s="24" t="str">
        <x:v>Ratio</x:v>
      </x:c>
      <x:c r="C37" s="24" t="str">
        <x:v>Approved</x:v>
      </x:c>
      <x:c r="D37" s="24" t="str">
        <x:v>None</x:v>
      </x:c>
      <x:c r="E37" s="24" t="str">
        <x:v>No change</x:v>
      </x:c>
      <x:c r="F37" s="24" t="str">
        <x:v>符合目前 Simplified-FS 範圍與題型定義。</x:v>
      </x:c>
      <x:c r="G37" s="24" t="str">
        <x:v>-</x:v>
      </x:c>
    </x:row>
    <x:row r="38" ht="66" hidden="0" customHeight="1">
      <x:c r="A38" s="24" t="str">
        <x:v>RT04</x:v>
      </x:c>
      <x:c r="B38" s="24" t="str">
        <x:v>Ratio</x:v>
      </x:c>
      <x:c r="C38" s="24" t="str">
        <x:v>Approved</x:v>
      </x:c>
      <x:c r="D38" s="24" t="str">
        <x:v>None</x:v>
      </x:c>
      <x:c r="E38" s="24" t="str">
        <x:v>No change</x:v>
      </x:c>
      <x:c r="F38" s="24" t="str">
        <x:v>符合目前 Simplified-FS 範圍與題型定義。</x:v>
      </x:c>
      <x:c r="G38" s="24" t="str">
        <x:v>-</x:v>
      </x:c>
    </x:row>
    <x:row r="39" ht="66" hidden="0" customHeight="1">
      <x:c r="A39" s="24" t="str">
        <x:v>RT05</x:v>
      </x:c>
      <x:c r="B39" s="24" t="str">
        <x:v>Ratio</x:v>
      </x:c>
      <x:c r="C39" s="24" t="str">
        <x:v>Approved</x:v>
      </x:c>
      <x:c r="D39" s="24" t="str">
        <x:v>None</x:v>
      </x:c>
      <x:c r="E39" s="24" t="str">
        <x:v>No change</x:v>
      </x:c>
      <x:c r="F39" s="24" t="str">
        <x:v>符合目前 Simplified-FS 範圍與題型定義。</x:v>
      </x:c>
      <x:c r="G39" s="24" t="str">
        <x:v>-</x:v>
      </x:c>
    </x:row>
    <x:row r="40" ht="184.8000030517578" hidden="0" customHeight="1">
      <x:c r="A40" s="24" t="str">
        <x:v>RT06</x:v>
      </x:c>
      <x:c r="B40" s="24" t="str">
        <x:v>Ratio</x:v>
      </x:c>
      <x:c r="C40" s="24" t="str">
        <x:v>Approved after revision</x:v>
      </x:c>
      <x:c r="D40" s="24" t="str">
        <x:v>Terminology</x:v>
      </x:c>
      <x:c r="E40" s="24" t="str">
        <x:v>Revised</x:v>
      </x:c>
      <x:c r="F40" s="24" t="str">
        <x:v>避免使用可能被解讀為僅含有息負債的 debt-to-assets ratio，改成與中文及 Required_Items 完全一致的表述。</x:v>
      </x:c>
      <x:c r="G40" s="24" t="str">
        <x:v>修正英文表述</x:v>
      </x:c>
    </x:row>
    <x:row r="41" ht="66" hidden="0" customHeight="1">
      <x:c r="A41" s="24" t="str">
        <x:v>RT07</x:v>
      </x:c>
      <x:c r="B41" s="24" t="str">
        <x:v>Ratio</x:v>
      </x:c>
      <x:c r="C41" s="24" t="str">
        <x:v>Approved</x:v>
      </x:c>
      <x:c r="D41" s="24" t="str">
        <x:v>None</x:v>
      </x:c>
      <x:c r="E41" s="24" t="str">
        <x:v>No change</x:v>
      </x:c>
      <x:c r="F41" s="24" t="str">
        <x:v>符合目前 Simplified-FS 範圍與題型定義。</x:v>
      </x:c>
      <x:c r="G41" s="24" t="str">
        <x:v>-</x:v>
      </x:c>
    </x:row>
    <x:row r="42" ht="66" hidden="0" customHeight="1">
      <x:c r="A42" s="24" t="str">
        <x:v>RT08</x:v>
      </x:c>
      <x:c r="B42" s="24" t="str">
        <x:v>Ratio</x:v>
      </x:c>
      <x:c r="C42" s="24" t="str">
        <x:v>Approved</x:v>
      </x:c>
      <x:c r="D42" s="24" t="str">
        <x:v>None</x:v>
      </x:c>
      <x:c r="E42" s="24" t="str">
        <x:v>No change</x:v>
      </x:c>
      <x:c r="F42" s="24" t="str">
        <x:v>符合目前 Simplified-FS 範圍與題型定義。</x:v>
      </x:c>
      <x:c r="G42" s="24" t="str">
        <x:v>-</x:v>
      </x:c>
    </x:row>
    <x:row r="43" ht="66" hidden="0" customHeight="1">
      <x:c r="A43" s="24" t="str">
        <x:v>RT09</x:v>
      </x:c>
      <x:c r="B43" s="24" t="str">
        <x:v>Ratio</x:v>
      </x:c>
      <x:c r="C43" s="24" t="str">
        <x:v>Approved</x:v>
      </x:c>
      <x:c r="D43" s="24" t="str">
        <x:v>None</x:v>
      </x:c>
      <x:c r="E43" s="24" t="str">
        <x:v>No change</x:v>
      </x:c>
      <x:c r="F43" s="24" t="str">
        <x:v>符合目前 Simplified-FS 範圍與題型定義。</x:v>
      </x:c>
      <x:c r="G43" s="24" t="str">
        <x:v>-</x:v>
      </x:c>
    </x:row>
    <x:row r="44" ht="66" hidden="0" customHeight="1">
      <x:c r="A44" s="24" t="str">
        <x:v>RT10</x:v>
      </x:c>
      <x:c r="B44" s="24" t="str">
        <x:v>Ratio</x:v>
      </x:c>
      <x:c r="C44" s="24" t="str">
        <x:v>Approved</x:v>
      </x:c>
      <x:c r="D44" s="24" t="str">
        <x:v>None</x:v>
      </x:c>
      <x:c r="E44" s="24" t="str">
        <x:v>No change</x:v>
      </x:c>
      <x:c r="F44" s="24" t="str">
        <x:v>符合目前 Simplified-FS 範圍與題型定義。</x:v>
      </x:c>
      <x:c r="G44" s="24" t="str">
        <x:v>-</x:v>
      </x:c>
    </x:row>
    <x:row r="45" ht="66" hidden="0" customHeight="1">
      <x:c r="A45" s="24" t="str">
        <x:v>LG01</x:v>
      </x:c>
      <x:c r="B45" s="24" t="str">
        <x:v>Logic</x:v>
      </x:c>
      <x:c r="C45" s="24" t="str">
        <x:v>Approved</x:v>
      </x:c>
      <x:c r="D45" s="24" t="str">
        <x:v>None</x:v>
      </x:c>
      <x:c r="E45" s="24" t="str">
        <x:v>No change</x:v>
      </x:c>
      <x:c r="F45" s="24" t="str">
        <x:v>符合目前 Simplified-FS 範圍與題型定義。</x:v>
      </x:c>
      <x:c r="G45" s="24" t="str">
        <x:v>-</x:v>
      </x:c>
    </x:row>
    <x:row r="46" ht="66" hidden="0" customHeight="1">
      <x:c r="A46" s="24" t="str">
        <x:v>LG02</x:v>
      </x:c>
      <x:c r="B46" s="24" t="str">
        <x:v>Logic</x:v>
      </x:c>
      <x:c r="C46" s="24" t="str">
        <x:v>Approved</x:v>
      </x:c>
      <x:c r="D46" s="24" t="str">
        <x:v>None</x:v>
      </x:c>
      <x:c r="E46" s="24" t="str">
        <x:v>No change</x:v>
      </x:c>
      <x:c r="F46" s="24" t="str">
        <x:v>符合目前 Simplified-FS 範圍與題型定義。</x:v>
      </x:c>
      <x:c r="G46" s="24" t="str">
        <x:v>-</x:v>
      </x:c>
    </x:row>
    <x:row r="47" ht="66" hidden="0" customHeight="1">
      <x:c r="A47" s="24" t="str">
        <x:v>LG03</x:v>
      </x:c>
      <x:c r="B47" s="24" t="str">
        <x:v>Logic</x:v>
      </x:c>
      <x:c r="C47" s="24" t="str">
        <x:v>Approved</x:v>
      </x:c>
      <x:c r="D47" s="24" t="str">
        <x:v>None</x:v>
      </x:c>
      <x:c r="E47" s="24" t="str">
        <x:v>No change</x:v>
      </x:c>
      <x:c r="F47" s="24" t="str">
        <x:v>符合目前 Simplified-FS 範圍與題型定義。</x:v>
      </x:c>
      <x:c r="G47" s="24" t="str">
        <x:v>-</x:v>
      </x:c>
    </x:row>
    <x:row r="48" ht="66" hidden="0" customHeight="1">
      <x:c r="A48" s="24" t="str">
        <x:v>LG04</x:v>
      </x:c>
      <x:c r="B48" s="24" t="str">
        <x:v>Logic</x:v>
      </x:c>
      <x:c r="C48" s="24" t="str">
        <x:v>Approved</x:v>
      </x:c>
      <x:c r="D48" s="24" t="str">
        <x:v>None</x:v>
      </x:c>
      <x:c r="E48" s="24" t="str">
        <x:v>No change</x:v>
      </x:c>
      <x:c r="F48" s="24" t="str">
        <x:v>符合目前 Simplified-FS 範圍與題型定義。</x:v>
      </x:c>
      <x:c r="G48" s="24" t="str">
        <x:v>-</x:v>
      </x:c>
    </x:row>
    <x:row r="49" ht="66" hidden="0" customHeight="1">
      <x:c r="A49" s="24" t="str">
        <x:v>LG05</x:v>
      </x:c>
      <x:c r="B49" s="24" t="str">
        <x:v>Logic</x:v>
      </x:c>
      <x:c r="C49" s="24" t="str">
        <x:v>Approved</x:v>
      </x:c>
      <x:c r="D49" s="24" t="str">
        <x:v>None</x:v>
      </x:c>
      <x:c r="E49" s="24" t="str">
        <x:v>No change</x:v>
      </x:c>
      <x:c r="F49" s="24" t="str">
        <x:v>符合目前 Simplified-FS 範圍與題型定義。</x:v>
      </x:c>
      <x:c r="G49" s="24" t="str">
        <x:v>-</x:v>
      </x:c>
    </x:row>
    <x:row r="50" ht="66" hidden="0" customHeight="1">
      <x:c r="A50" s="24" t="str">
        <x:v>LG06</x:v>
      </x:c>
      <x:c r="B50" s="24" t="str">
        <x:v>Logic</x:v>
      </x:c>
      <x:c r="C50" s="24" t="str">
        <x:v>Approved</x:v>
      </x:c>
      <x:c r="D50" s="24" t="str">
        <x:v>None</x:v>
      </x:c>
      <x:c r="E50" s="24" t="str">
        <x:v>No change</x:v>
      </x:c>
      <x:c r="F50" s="24" t="str">
        <x:v>符合目前 Simplified-FS 範圍與題型定義。</x:v>
      </x:c>
      <x:c r="G50" s="24" t="str">
        <x:v>-</x:v>
      </x:c>
    </x:row>
    <x:row r="51" ht="66" hidden="0" customHeight="1">
      <x:c r="A51" s="24" t="str">
        <x:v>LG07</x:v>
      </x:c>
      <x:c r="B51" s="24" t="str">
        <x:v>Logic</x:v>
      </x:c>
      <x:c r="C51" s="24" t="str">
        <x:v>Approved</x:v>
      </x:c>
      <x:c r="D51" s="24" t="str">
        <x:v>None</x:v>
      </x:c>
      <x:c r="E51" s="24" t="str">
        <x:v>No change</x:v>
      </x:c>
      <x:c r="F51" s="24" t="str">
        <x:v>符合目前 Simplified-FS 範圍與題型定義。</x:v>
      </x:c>
      <x:c r="G51" s="24" t="str">
        <x:v>-</x:v>
      </x:c>
    </x:row>
    <x:row r="52" ht="132" hidden="0" customHeight="1">
      <x:c r="A52" s="24" t="str">
        <x:v>LG08</x:v>
      </x:c>
      <x:c r="B52" s="24" t="str">
        <x:v>Logic</x:v>
      </x:c>
      <x:c r="C52" s="24" t="str">
        <x:v>Approved after revision</x:v>
      </x:c>
      <x:c r="D52" s="24" t="str">
        <x:v>Difficulty / Reasoning Depth</x:v>
      </x:c>
      <x:c r="E52" s="24" t="str">
        <x:v>Revised</x:v>
      </x:c>
      <x:c r="F52" s="24" t="str">
        <x:v>原題僅為兩期大小比較，難以支持 Hard 難度；改為跨三年、雙概念的聯合條件判斷。</x:v>
      </x:c>
      <x:c r="G52" s="24" t="str">
        <x:v>重寫題目與 Semantic Fields</x:v>
      </x:c>
    </x:row>
    <x:row r="53" ht="132" hidden="0" customHeight="1">
      <x:c r="A53" s="24" t="str">
        <x:v>LG09</x:v>
      </x:c>
      <x:c r="B53" s="24" t="str">
        <x:v>Logic</x:v>
      </x:c>
      <x:c r="C53" s="24" t="str">
        <x:v>Approved after revision</x:v>
      </x:c>
      <x:c r="D53" s="24" t="str">
        <x:v>Difficulty / Reasoning Depth</x:v>
      </x:c>
      <x:c r="E53" s="24" t="str">
        <x:v>Revised</x:v>
      </x:c>
      <x:c r="F53" s="24" t="str">
        <x:v>原題為單一負值判斷，難以支持 Hard 難度；改為先計算各年毛利率再判斷是否逐年下降。</x:v>
      </x:c>
      <x:c r="G53" s="24" t="str">
        <x:v>重寫題目與 Semantic Fields</x:v>
      </x:c>
    </x:row>
    <x:row r="54" ht="66" hidden="0" customHeight="1">
      <x:c r="A54" s="24" t="str">
        <x:v>LG10</x:v>
      </x:c>
      <x:c r="B54" s="24" t="str">
        <x:v>Logic</x:v>
      </x:c>
      <x:c r="C54" s="24" t="str">
        <x:v>Approved</x:v>
      </x:c>
      <x:c r="D54" s="24" t="str">
        <x:v>None</x:v>
      </x:c>
      <x:c r="E54" s="24" t="str">
        <x:v>No change</x:v>
      </x:c>
      <x:c r="F54" s="24" t="str">
        <x:v>符合目前 Simplified-FS 範圍與題型定義。</x:v>
      </x:c>
      <x:c r="G54" s="24" t="str">
        <x:v>-</x:v>
      </x:c>
    </x:row>
    <x:row r="55" ht="66" hidden="0" customHeight="1">
      <x:c r="A55" s="24" t="str">
        <x:v>AR01</x:v>
      </x:c>
      <x:c r="B55" s="24" t="str">
        <x:v>Arithmetic</x:v>
      </x:c>
      <x:c r="C55" s="24" t="str">
        <x:v>Approved</x:v>
      </x:c>
      <x:c r="D55" s="24" t="str">
        <x:v>None</x:v>
      </x:c>
      <x:c r="E55" s="24" t="str">
        <x:v>No change</x:v>
      </x:c>
      <x:c r="F55" s="24" t="str">
        <x:v>符合目前 Simplified-FS 範圍與題型定義。</x:v>
      </x:c>
      <x:c r="G55" s="24" t="str">
        <x:v>-</x:v>
      </x:c>
    </x:row>
    <x:row r="56" ht="66" hidden="0" customHeight="1">
      <x:c r="A56" s="24" t="str">
        <x:v>AR02</x:v>
      </x:c>
      <x:c r="B56" s="24" t="str">
        <x:v>Arithmetic</x:v>
      </x:c>
      <x:c r="C56" s="24" t="str">
        <x:v>Approved</x:v>
      </x:c>
      <x:c r="D56" s="24" t="str">
        <x:v>None</x:v>
      </x:c>
      <x:c r="E56" s="24" t="str">
        <x:v>No change</x:v>
      </x:c>
      <x:c r="F56" s="24" t="str">
        <x:v>符合目前 Simplified-FS 範圍與題型定義。</x:v>
      </x:c>
      <x:c r="G56" s="24" t="str">
        <x:v>-</x:v>
      </x:c>
    </x:row>
    <x:row r="57" ht="66" hidden="0" customHeight="1">
      <x:c r="A57" s="24" t="str">
        <x:v>AR03</x:v>
      </x:c>
      <x:c r="B57" s="24" t="str">
        <x:v>Arithmetic</x:v>
      </x:c>
      <x:c r="C57" s="24" t="str">
        <x:v>Approved</x:v>
      </x:c>
      <x:c r="D57" s="24" t="str">
        <x:v>None</x:v>
      </x:c>
      <x:c r="E57" s="24" t="str">
        <x:v>No change</x:v>
      </x:c>
      <x:c r="F57" s="24" t="str">
        <x:v>符合目前 Simplified-FS 範圍與題型定義。</x:v>
      </x:c>
      <x:c r="G57" s="24" t="str">
        <x:v>-</x:v>
      </x:c>
    </x:row>
    <x:row r="58" ht="66" hidden="0" customHeight="1">
      <x:c r="A58" s="24" t="str">
        <x:v>AR04</x:v>
      </x:c>
      <x:c r="B58" s="24" t="str">
        <x:v>Arithmetic</x:v>
      </x:c>
      <x:c r="C58" s="24" t="str">
        <x:v>Approved</x:v>
      </x:c>
      <x:c r="D58" s="24" t="str">
        <x:v>None</x:v>
      </x:c>
      <x:c r="E58" s="24" t="str">
        <x:v>No change</x:v>
      </x:c>
      <x:c r="F58" s="24" t="str">
        <x:v>符合目前 Simplified-FS 範圍與題型定義。</x:v>
      </x:c>
      <x:c r="G58" s="24" t="str">
        <x:v>-</x:v>
      </x:c>
    </x:row>
    <x:row r="59" ht="66" hidden="0" customHeight="1">
      <x:c r="A59" s="24" t="str">
        <x:v>AR05</x:v>
      </x:c>
      <x:c r="B59" s="24" t="str">
        <x:v>Arithmetic</x:v>
      </x:c>
      <x:c r="C59" s="24" t="str">
        <x:v>Approved</x:v>
      </x:c>
      <x:c r="D59" s="24" t="str">
        <x:v>None</x:v>
      </x:c>
      <x:c r="E59" s="24" t="str">
        <x:v>No change</x:v>
      </x:c>
      <x:c r="F59" s="24" t="str">
        <x:v>符合目前 Simplified-FS 範圍與題型定義。</x:v>
      </x:c>
      <x:c r="G59" s="24" t="str">
        <x:v>-</x:v>
      </x:c>
    </x:row>
    <x:row r="60" ht="66" hidden="0" customHeight="1">
      <x:c r="A60" s="24" t="str">
        <x:v>AR06</x:v>
      </x:c>
      <x:c r="B60" s="24" t="str">
        <x:v>Arithmetic</x:v>
      </x:c>
      <x:c r="C60" s="24" t="str">
        <x:v>Approved</x:v>
      </x:c>
      <x:c r="D60" s="24" t="str">
        <x:v>None</x:v>
      </x:c>
      <x:c r="E60" s="24" t="str">
        <x:v>No change</x:v>
      </x:c>
      <x:c r="F60" s="24" t="str">
        <x:v>符合目前 Simplified-FS 範圍與題型定義。</x:v>
      </x:c>
      <x:c r="G60" s="24" t="str">
        <x:v>-</x:v>
      </x:c>
    </x:row>
    <x:row r="61" ht="66" hidden="0" customHeight="1">
      <x:c r="A61" s="24" t="str">
        <x:v>AR07</x:v>
      </x:c>
      <x:c r="B61" s="24" t="str">
        <x:v>Arithmetic</x:v>
      </x:c>
      <x:c r="C61" s="24" t="str">
        <x:v>Approved</x:v>
      </x:c>
      <x:c r="D61" s="24" t="str">
        <x:v>None</x:v>
      </x:c>
      <x:c r="E61" s="24" t="str">
        <x:v>No change</x:v>
      </x:c>
      <x:c r="F61" s="24" t="str">
        <x:v>符合目前 Simplified-FS 範圍與題型定義。</x:v>
      </x:c>
      <x:c r="G61" s="24" t="str">
        <x:v>-</x:v>
      </x:c>
    </x:row>
    <x:row r="62" ht="66" hidden="0" customHeight="1">
      <x:c r="A62" s="24" t="str">
        <x:v>AR08</x:v>
      </x:c>
      <x:c r="B62" s="24" t="str">
        <x:v>Arithmetic</x:v>
      </x:c>
      <x:c r="C62" s="24" t="str">
        <x:v>Approved</x:v>
      </x:c>
      <x:c r="D62" s="24" t="str">
        <x:v>None</x:v>
      </x:c>
      <x:c r="E62" s="24" t="str">
        <x:v>No change</x:v>
      </x:c>
      <x:c r="F62" s="24" t="str">
        <x:v>符合目前 Simplified-FS 範圍與題型定義。</x:v>
      </x:c>
      <x:c r="G62" s="24" t="str">
        <x:v>-</x:v>
      </x:c>
    </x:row>
    <x:row r="63" ht="66" hidden="0" customHeight="1">
      <x:c r="A63" s="24" t="str">
        <x:v>AR09</x:v>
      </x:c>
      <x:c r="B63" s="24" t="str">
        <x:v>Arithmetic</x:v>
      </x:c>
      <x:c r="C63" s="24" t="str">
        <x:v>Approved</x:v>
      </x:c>
      <x:c r="D63" s="24" t="str">
        <x:v>None</x:v>
      </x:c>
      <x:c r="E63" s="24" t="str">
        <x:v>No change</x:v>
      </x:c>
      <x:c r="F63" s="24" t="str">
        <x:v>符合目前 Simplified-FS 範圍與題型定義。</x:v>
      </x:c>
      <x:c r="G63" s="24" t="str">
        <x:v>-</x:v>
      </x:c>
    </x:row>
    <x:row r="64" ht="66" hidden="0" customHeight="1">
      <x:c r="A64" s="24" t="str">
        <x:v>AR10</x:v>
      </x:c>
      <x:c r="B64" s="24" t="str">
        <x:v>Arithmetic</x:v>
      </x:c>
      <x:c r="C64" s="24" t="str">
        <x:v>Approved</x:v>
      </x:c>
      <x:c r="D64" s="24" t="str">
        <x:v>None</x:v>
      </x:c>
      <x:c r="E64" s="24" t="str">
        <x:v>No change</x:v>
      </x:c>
      <x:c r="F64" s="24" t="str">
        <x:v>符合目前 Simplified-FS 範圍與題型定義。</x:v>
      </x:c>
      <x:c r="G64" s="24" t="str">
        <x:v>-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34" hidden="0" customWidth="1"/>
    <x:col min="5" max="5" width="34" hidden="0" customWidth="1"/>
    <x:col min="6" max="6" width="46" hidden="0" customWidth="1"/>
    <x:col min="7" max="7" width="50" hidden="0" customWidth="1"/>
    <x:col min="8" max="8" width="14" hidden="0" customWidth="1"/>
    <x:col min="9" max="9" width="18" hidden="0" customWidth="1"/>
    <x:col min="10" max="10" width="12" hidden="0" customWidth="1"/>
    <x:col min="11" max="11" width="34" hidden="0" customWidth="1"/>
    <x:col min="12" max="12" width="14" hidden="0" customWidth="1"/>
    <x:col min="13" max="13" width="16" hidden="0" customWidth="1"/>
    <x:col min="14" max="14" width="12" hidden="0" customWidth="1"/>
    <x:col min="15" max="15" width="12" hidden="0" customWidth="1"/>
    <x:col min="16" max="16" width="16" hidden="0" customWidth="1"/>
    <x:col min="17" max="17" width="18" hidden="0" customWidth="1"/>
    <x:col min="18" max="18" width="18" hidden="0" customWidth="1"/>
    <x:col min="19" max="19" width="14" hidden="0" customWidth="1"/>
    <x:col min="20" max="20" width="16" hidden="0" customWidth="1"/>
    <x:col min="21" max="21" width="32" hidden="0" customWidth="1"/>
  </x:cols>
  <x:sheetData>
    <x:row r="1" ht="26" customHeight="1">
      <x:c r="A1" s="60" t="str">
        <x:v>UMC Simplified Financial QA Gold Dataset v2 — Gold Annotations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</x:row>
    <x:row r="2" ht="34" customHeight="1">
      <x:c r="A2" s="61" t="str">
        <x:v>60 題均依 112–114 年簡明財報 Financial Fact Store 產生 Golden Context、Python Solution 與 Gold Answer；Python Solution 已逐題實際執行並通過 deterministic validation。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  <x:c r="R2" s="61"/>
      <x:c r="S2" s="61"/>
      <x:c r="T2" s="61"/>
      <x:c r="U2" s="61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</x:row>
    <x:row r="4" ht="32" customHeight="1">
      <x:c r="A4" s="63" t="str">
        <x:v>Question_ID</x:v>
      </x:c>
      <x:c r="B4" s="63" t="str">
        <x:v>Question_Type</x:v>
      </x:c>
      <x:c r="C4" s="63" t="str">
        <x:v>Difficulty</x:v>
      </x:c>
      <x:c r="D4" s="63" t="str">
        <x:v>Chinese_Question</x:v>
      </x:c>
      <x:c r="E4" s="63" t="str">
        <x:v>English_Question</x:v>
      </x:c>
      <x:c r="F4" s="63" t="str">
        <x:v>Golden_Context</x:v>
      </x:c>
      <x:c r="G4" s="63" t="str">
        <x:v>Python_Solution</x:v>
      </x:c>
      <x:c r="H4" s="63" t="str">
        <x:v>Gold_Answer</x:v>
      </x:c>
      <x:c r="I4" s="63" t="str">
        <x:v>Answer_Display_ZH</x:v>
      </x:c>
      <x:c r="J4" s="63" t="str">
        <x:v>Unit</x:v>
      </x:c>
      <x:c r="K4" s="63" t="str">
        <x:v>Source_Fact_IDs</x:v>
      </x:c>
      <x:c r="L4" s="63" t="str">
        <x:v>Execution_Result</x:v>
      </x:c>
      <x:c r="M4" s="63" t="str">
        <x:v>Required_Facts_Pass</x:v>
      </x:c>
      <x:c r="N4" s="63" t="str">
        <x:v>Null_Check</x:v>
      </x:c>
      <x:c r="O4" s="63" t="str">
        <x:v>Unit_Check</x:v>
      </x:c>
      <x:c r="P4" s="63" t="str">
        <x:v>Type_Logic_Check</x:v>
      </x:c>
      <x:c r="Q4" s="63" t="str">
        <x:v>Golden_Context_Check</x:v>
      </x:c>
      <x:c r="R4" s="63" t="str">
        <x:v>Python_Execution_Pass</x:v>
      </x:c>
      <x:c r="S4" s="63" t="str">
        <x:v>Answer_Match</x:v>
      </x:c>
      <x:c r="T4" s="63" t="str">
        <x:v>Validation_Status</x:v>
      </x:c>
      <x:c r="U4" s="63" t="str">
        <x:v>Validation_Notes</x:v>
      </x:c>
    </x:row>
    <x:row r="5" ht="90" customHeight="1">
      <x:c r="A5" s="65" t="str">
        <x:v>SF01</x:v>
      </x:c>
      <x:c r="B5" s="65" t="str">
        <x:v>Single-Fact</x:v>
      </x:c>
      <x:c r="C5" s="65" t="str">
        <x:v>Easy</x:v>
      </x:c>
      <x:c r="D5" s="65" t="str">
        <x:v>聯電114年度的營業收入是多少？</x:v>
      </x:c>
      <x:c r="E5" s="65" t="str">
        <x:v>What was UMC's operating revenue in 2025?</x:v>
      </x:c>
      <x:c r="F5" s="65" t="str">
        <x:v>## 簡明綜合損益表
| 項目 | 114年 |
| :--- | ---: |
| 營業收入 | 237,553,199 |
來源單位：新臺幣仟元</x:v>
      </x:c>
      <x:c r="G5" s="65" t="str">
        <x:v>def solution():
    # Grounding（來源：簡明財報）
    operating_revenue_2025 = 237553199
    return operating_revenue_2025</x:v>
      </x:c>
      <x:c r="H5" s="67" t="n">
        <x:v>237553199</x:v>
      </x:c>
      <x:c r="I5" s="65" t="str">
        <x:v>237,553,199</x:v>
      </x:c>
      <x:c r="J5" s="65" t="str">
        <x:v>新臺幣仟元</x:v>
      </x:c>
      <x:c r="K5" s="65" t="str">
        <x:v>UMC_2025_operating_revenue</x:v>
      </x:c>
      <x:c r="L5" s="67" t="n">
        <x:v>237553199</x:v>
      </x:c>
      <x:c r="M5" s="66" t="b">
        <x:v>1</x:v>
      </x:c>
      <x:c r="N5" s="66" t="b">
        <x:v>1</x:v>
      </x:c>
      <x:c r="O5" s="66" t="b">
        <x:v>1</x:v>
      </x:c>
      <x:c r="P5" s="66" t="b">
        <x:v>1</x:v>
      </x:c>
      <x:c r="Q5" s="66" t="b">
        <x:v>1</x:v>
      </x:c>
      <x:c r="R5" s="66" t="b">
        <x:v>1</x:v>
      </x:c>
      <x:c r="S5" s="66" t="b">
        <x:v>1</x:v>
      </x:c>
      <x:c r="T5" s="65" t="str">
        <x:v>PASS</x:v>
      </x:c>
      <x:c r="U5" s="65" t="str">
        <x:v>All deterministic checks passed.</x:v>
      </x:c>
    </x:row>
    <x:row r="6" ht="90" customHeight="1">
      <x:c r="A6" s="65" t="str">
        <x:v>SF02</x:v>
      </x:c>
      <x:c r="B6" s="65" t="str">
        <x:v>Single-Fact</x:v>
      </x:c>
      <x:c r="C6" s="65" t="str">
        <x:v>Easy</x:v>
      </x:c>
      <x:c r="D6" s="65" t="str">
        <x:v>聯電113年12月31日的資產總計是多少？</x:v>
      </x:c>
      <x:c r="E6" s="65" t="str">
        <x:v>What were UMC's total assets in 2024?</x:v>
      </x:c>
      <x:c r="F6" s="65" t="str">
        <x:v>## 簡明資產負債表
| 項目 | 113年 |
| :--- | ---: |
| 資產總計 | 570,200,677 |
來源單位：新臺幣仟元</x:v>
      </x:c>
      <x:c r="G6" s="65" t="str">
        <x:v>def solution():
    # Grounding（來源：簡明財報）
    total_assets_2024 = 570200677
    return total_assets_2024</x:v>
      </x:c>
      <x:c r="H6" s="67" t="n">
        <x:v>570200677</x:v>
      </x:c>
      <x:c r="I6" s="65" t="str">
        <x:v>570,200,677</x:v>
      </x:c>
      <x:c r="J6" s="65" t="str">
        <x:v>新臺幣仟元</x:v>
      </x:c>
      <x:c r="K6" s="65" t="str">
        <x:v>UMC_2024_total_assets</x:v>
      </x:c>
      <x:c r="L6" s="67" t="n">
        <x:v>570200677</x:v>
      </x:c>
      <x:c r="M6" s="66" t="b">
        <x:v>1</x:v>
      </x:c>
      <x:c r="N6" s="66" t="b">
        <x:v>1</x:v>
      </x:c>
      <x:c r="O6" s="66" t="b">
        <x:v>1</x:v>
      </x:c>
      <x:c r="P6" s="66" t="b">
        <x:v>1</x:v>
      </x:c>
      <x:c r="Q6" s="66" t="b">
        <x:v>1</x:v>
      </x:c>
      <x:c r="R6" s="66" t="b">
        <x:v>1</x:v>
      </x:c>
      <x:c r="S6" s="66" t="b">
        <x:v>1</x:v>
      </x:c>
      <x:c r="T6" s="65" t="str">
        <x:v>PASS</x:v>
      </x:c>
      <x:c r="U6" s="65" t="str">
        <x:v>All deterministic checks passed.</x:v>
      </x:c>
    </x:row>
    <x:row r="7" ht="90" customHeight="1">
      <x:c r="A7" s="65" t="str">
        <x:v>SF03</x:v>
      </x:c>
      <x:c r="B7" s="65" t="str">
        <x:v>Single-Fact</x:v>
      </x:c>
      <x:c r="C7" s="65" t="str">
        <x:v>Easy</x:v>
      </x:c>
      <x:c r="D7" s="65" t="str">
        <x:v>聯電112年度的本期淨利是多少？</x:v>
      </x:c>
      <x:c r="E7" s="65" t="str">
        <x:v>What was UMC's net profit in 2023?</x:v>
      </x:c>
      <x:c r="F7" s="65" t="str">
        <x:v>## 簡明綜合損益表
| 項目 | 112年 |
| :--- | ---: |
| 本期淨利（淨損） | 61,439,817 |
來源單位：新臺幣仟元</x:v>
      </x:c>
      <x:c r="G7" s="65" t="str">
        <x:v>def solution():
    # Grounding（來源：簡明財報）
    net_profit_2023 = 61439817
    return net_profit_2023</x:v>
      </x:c>
      <x:c r="H7" s="67" t="n">
        <x:v>61439817</x:v>
      </x:c>
      <x:c r="I7" s="65" t="str">
        <x:v>61,439,817</x:v>
      </x:c>
      <x:c r="J7" s="65" t="str">
        <x:v>新臺幣仟元</x:v>
      </x:c>
      <x:c r="K7" s="65" t="str">
        <x:v>UMC_2023_net_profit</x:v>
      </x:c>
      <x:c r="L7" s="67" t="n">
        <x:v>61439817</x:v>
      </x:c>
      <x:c r="M7" s="66" t="b">
        <x:v>1</x:v>
      </x:c>
      <x:c r="N7" s="66" t="b">
        <x:v>1</x:v>
      </x:c>
      <x:c r="O7" s="66" t="b">
        <x:v>1</x:v>
      </x:c>
      <x:c r="P7" s="66" t="b">
        <x:v>1</x:v>
      </x:c>
      <x:c r="Q7" s="66" t="b">
        <x:v>1</x:v>
      </x:c>
      <x:c r="R7" s="66" t="b">
        <x:v>1</x:v>
      </x:c>
      <x:c r="S7" s="66" t="b">
        <x:v>1</x:v>
      </x:c>
      <x:c r="T7" s="65" t="str">
        <x:v>PASS</x:v>
      </x:c>
      <x:c r="U7" s="65" t="str">
        <x:v>All deterministic checks passed.</x:v>
      </x:c>
    </x:row>
    <x:row r="8" ht="90" customHeight="1">
      <x:c r="A8" s="65" t="str">
        <x:v>SF04</x:v>
      </x:c>
      <x:c r="B8" s="65" t="str">
        <x:v>Single-Fact</x:v>
      </x:c>
      <x:c r="C8" s="65" t="str">
        <x:v>Medium</x:v>
      </x:c>
      <x:c r="D8" s="65" t="str">
        <x:v>聯電114年12月31日的流動負債是多少？</x:v>
      </x:c>
      <x:c r="E8" s="65" t="str">
        <x:v>What were UMC's current liabilities as of December 31, 2025?</x:v>
      </x:c>
      <x:c r="F8" s="65" t="str">
        <x:v>## 簡明資產負債表
| 項目 | 114年 |
| :--- | ---: |
| 流動負債 | 87,598,137 |
來源單位：新臺幣仟元</x:v>
      </x:c>
      <x:c r="G8" s="65" t="str">
        <x:v>def solution():
    # Grounding（來源：簡明財報）
    current_liabilities_2025 = 87598137
    return current_liabilities_2025</x:v>
      </x:c>
      <x:c r="H8" s="67" t="n">
        <x:v>87598137</x:v>
      </x:c>
      <x:c r="I8" s="65" t="str">
        <x:v>87,598,137</x:v>
      </x:c>
      <x:c r="J8" s="65" t="str">
        <x:v>新臺幣仟元</x:v>
      </x:c>
      <x:c r="K8" s="65" t="str">
        <x:v>UMC_2025_current_liabilities</x:v>
      </x:c>
      <x:c r="L8" s="67" t="n">
        <x:v>87598137</x:v>
      </x:c>
      <x:c r="M8" s="66" t="b">
        <x:v>1</x:v>
      </x:c>
      <x:c r="N8" s="66" t="b">
        <x:v>1</x:v>
      </x:c>
      <x:c r="O8" s="66" t="b">
        <x:v>1</x:v>
      </x:c>
      <x:c r="P8" s="66" t="b">
        <x:v>1</x:v>
      </x:c>
      <x:c r="Q8" s="66" t="b">
        <x:v>1</x:v>
      </x:c>
      <x:c r="R8" s="66" t="b">
        <x:v>1</x:v>
      </x:c>
      <x:c r="S8" s="66" t="b">
        <x:v>1</x:v>
      </x:c>
      <x:c r="T8" s="65" t="str">
        <x:v>PASS</x:v>
      </x:c>
      <x:c r="U8" s="65" t="str">
        <x:v>All deterministic checks passed.</x:v>
      </x:c>
    </x:row>
    <x:row r="9" ht="90" customHeight="1">
      <x:c r="A9" s="65" t="str">
        <x:v>SF05</x:v>
      </x:c>
      <x:c r="B9" s="65" t="str">
        <x:v>Single-Fact</x:v>
      </x:c>
      <x:c r="C9" s="65" t="str">
        <x:v>Medium</x:v>
      </x:c>
      <x:c r="D9" s="65" t="str">
        <x:v>聯電113年12月31日的權益總計是多少？</x:v>
      </x:c>
      <x:c r="E9" s="65" t="str">
        <x:v>What was UMC's total equity as of December 31, 2024?</x:v>
      </x:c>
      <x:c r="F9" s="65" t="str">
        <x:v>## 簡明資產負債表
| 項目 | 113年 |
| :--- | ---: |
| 權益總計 | 378,185,004 |
來源單位：新臺幣仟元</x:v>
      </x:c>
      <x:c r="G9" s="65" t="str">
        <x:v>def solution():
    # Grounding（來源：簡明財報）
    total_equity_2024 = 378185004
    return total_equity_2024</x:v>
      </x:c>
      <x:c r="H9" s="67" t="n">
        <x:v>378185004</x:v>
      </x:c>
      <x:c r="I9" s="65" t="str">
        <x:v>378,185,004</x:v>
      </x:c>
      <x:c r="J9" s="65" t="str">
        <x:v>新臺幣仟元</x:v>
      </x:c>
      <x:c r="K9" s="65" t="str">
        <x:v>UMC_2024_total_equity</x:v>
      </x:c>
      <x:c r="L9" s="67" t="n">
        <x:v>378185004</x:v>
      </x:c>
      <x:c r="M9" s="66" t="b">
        <x:v>1</x:v>
      </x:c>
      <x:c r="N9" s="66" t="b">
        <x:v>1</x:v>
      </x:c>
      <x:c r="O9" s="66" t="b">
        <x:v>1</x:v>
      </x:c>
      <x:c r="P9" s="66" t="b">
        <x:v>1</x:v>
      </x:c>
      <x:c r="Q9" s="66" t="b">
        <x:v>1</x:v>
      </x:c>
      <x:c r="R9" s="66" t="b">
        <x:v>1</x:v>
      </x:c>
      <x:c r="S9" s="66" t="b">
        <x:v>1</x:v>
      </x:c>
      <x:c r="T9" s="65" t="str">
        <x:v>PASS</x:v>
      </x:c>
      <x:c r="U9" s="65" t="str">
        <x:v>All deterministic checks passed.</x:v>
      </x:c>
    </x:row>
    <x:row r="10" ht="90" customHeight="1">
      <x:c r="A10" s="65" t="str">
        <x:v>SF06</x:v>
      </x:c>
      <x:c r="B10" s="65" t="str">
        <x:v>Single-Fact</x:v>
      </x:c>
      <x:c r="C10" s="65" t="str">
        <x:v>Medium</x:v>
      </x:c>
      <x:c r="D10" s="65" t="str">
        <x:v>聯電112年度的營業利益是多少？</x:v>
      </x:c>
      <x:c r="E10" s="65" t="str">
        <x:v>What was UMC's operating income in 2023?</x:v>
      </x:c>
      <x:c r="F10" s="65" t="str">
        <x:v>## 簡明綜合損益表
| 項目 | 112年 |
| :--- | ---: |
| 營業利益（損失） | 57,890,661 |
來源單位：新臺幣仟元</x:v>
      </x:c>
      <x:c r="G10" s="65" t="str">
        <x:v>def solution():
    # Grounding（來源：簡明財報）
    operating_income_2023 = 57890661
    return operating_income_2023</x:v>
      </x:c>
      <x:c r="H10" s="67" t="n">
        <x:v>57890661</x:v>
      </x:c>
      <x:c r="I10" s="65" t="str">
        <x:v>57,890,661</x:v>
      </x:c>
      <x:c r="J10" s="65" t="str">
        <x:v>新臺幣仟元</x:v>
      </x:c>
      <x:c r="K10" s="65" t="str">
        <x:v>UMC_2023_operating_income</x:v>
      </x:c>
      <x:c r="L10" s="67" t="n">
        <x:v>57890661</x:v>
      </x:c>
      <x:c r="M10" s="66" t="b">
        <x:v>1</x:v>
      </x:c>
      <x:c r="N10" s="66" t="b">
        <x:v>1</x:v>
      </x:c>
      <x:c r="O10" s="66" t="b">
        <x:v>1</x:v>
      </x:c>
      <x:c r="P10" s="66" t="b">
        <x:v>1</x:v>
      </x:c>
      <x:c r="Q10" s="66" t="b">
        <x:v>1</x:v>
      </x:c>
      <x:c r="R10" s="66" t="b">
        <x:v>1</x:v>
      </x:c>
      <x:c r="S10" s="66" t="b">
        <x:v>1</x:v>
      </x:c>
      <x:c r="T10" s="65" t="str">
        <x:v>PASS</x:v>
      </x:c>
      <x:c r="U10" s="65" t="str">
        <x:v>All deterministic checks passed.</x:v>
      </x:c>
    </x:row>
    <x:row r="11" ht="90" customHeight="1">
      <x:c r="A11" s="65" t="str">
        <x:v>SF07</x:v>
      </x:c>
      <x:c r="B11" s="65" t="str">
        <x:v>Single-Fact</x:v>
      </x:c>
      <x:c r="C11" s="65" t="str">
        <x:v>Medium</x:v>
      </x:c>
      <x:c r="D11" s="65" t="str">
        <x:v>聯電114年度的基本每股盈餘是多少？</x:v>
      </x:c>
      <x:c r="E11" s="65" t="str">
        <x:v>What was UMC's basic earnings per share in 2025?</x:v>
      </x:c>
      <x:c r="F11" s="65" t="str">
        <x:v>## 簡明綜合損益表
| 項目 | 114年 |
| :--- | ---: |
| 基本每股盈餘（元） | 3.34 |
來源單位：元</x:v>
      </x:c>
      <x:c r="G11" s="65" t="str">
        <x:v>def solution():
    # Grounding（來源：簡明財報）
    basic_eps_2025 = 3.34
    return basic_eps_2025</x:v>
      </x:c>
      <x:c r="H11" s="67" t="n">
        <x:v>3.34</x:v>
      </x:c>
      <x:c r="I11" s="65" t="str">
        <x:v>3.34</x:v>
      </x:c>
      <x:c r="J11" s="65" t="str">
        <x:v>元</x:v>
      </x:c>
      <x:c r="K11" s="65" t="str">
        <x:v>UMC_2025_basic_eps</x:v>
      </x:c>
      <x:c r="L11" s="67" t="n">
        <x:v>3.34</x:v>
      </x:c>
      <x:c r="M11" s="66" t="b">
        <x:v>1</x:v>
      </x:c>
      <x:c r="N11" s="66" t="b">
        <x:v>1</x:v>
      </x:c>
      <x:c r="O11" s="66" t="b">
        <x:v>1</x:v>
      </x:c>
      <x:c r="P11" s="66" t="b">
        <x:v>1</x:v>
      </x:c>
      <x:c r="Q11" s="66" t="b">
        <x:v>1</x:v>
      </x:c>
      <x:c r="R11" s="66" t="b">
        <x:v>1</x:v>
      </x:c>
      <x:c r="S11" s="66" t="b">
        <x:v>1</x:v>
      </x:c>
      <x:c r="T11" s="65" t="str">
        <x:v>PASS</x:v>
      </x:c>
      <x:c r="U11" s="65" t="str">
        <x:v>All deterministic checks passed.</x:v>
      </x:c>
    </x:row>
    <x:row r="12" ht="90" customHeight="1">
      <x:c r="A12" s="65" t="str">
        <x:v>SF08</x:v>
      </x:c>
      <x:c r="B12" s="65" t="str">
        <x:v>Single-Fact</x:v>
      </x:c>
      <x:c r="C12" s="65" t="str">
        <x:v>Hard</x:v>
      </x:c>
      <x:c r="D12" s="65" t="str">
        <x:v>聯電113年度歸屬於母公司業主之綜合損益總額是多少？</x:v>
      </x:c>
      <x:c r="E12" s="65" t="str">
        <x:v>What was UMC's total comprehensive income attributable to owners of the parent in 2024?</x:v>
      </x:c>
      <x:c r="F12" s="65" t="str">
        <x:v>## 簡明綜合損益表
| 項目 | 113年 |
| :--- | ---: |
| 綜合損益總額歸屬於母公司業主 | 55,511,838 |
來源單位：新臺幣仟元</x:v>
      </x:c>
      <x:c r="G12" s="65" t="str">
        <x:v>def solution():
    # Grounding（來源：簡明財報）
    total_comprehensive_income_attributable_to_parent_2024 = 55511838
    return total_comprehensive_income_attributable_to_parent_2024</x:v>
      </x:c>
      <x:c r="H12" s="67" t="n">
        <x:v>55511838</x:v>
      </x:c>
      <x:c r="I12" s="65" t="str">
        <x:v>55,511,838</x:v>
      </x:c>
      <x:c r="J12" s="65" t="str">
        <x:v>新臺幣仟元</x:v>
      </x:c>
      <x:c r="K12" s="65" t="str">
        <x:v>UMC_2024_comprehensive_income_parent</x:v>
      </x:c>
      <x:c r="L12" s="67" t="n">
        <x:v>55511838</x:v>
      </x:c>
      <x:c r="M12" s="66" t="b">
        <x:v>1</x:v>
      </x:c>
      <x:c r="N12" s="66" t="b">
        <x:v>1</x:v>
      </x:c>
      <x:c r="O12" s="66" t="b">
        <x:v>1</x:v>
      </x:c>
      <x:c r="P12" s="66" t="b">
        <x:v>1</x:v>
      </x:c>
      <x:c r="Q12" s="66" t="b">
        <x:v>1</x:v>
      </x:c>
      <x:c r="R12" s="66" t="b">
        <x:v>1</x:v>
      </x:c>
      <x:c r="S12" s="66" t="b">
        <x:v>1</x:v>
      </x:c>
      <x:c r="T12" s="65" t="str">
        <x:v>PASS</x:v>
      </x:c>
      <x:c r="U12" s="65" t="str">
        <x:v>All deterministic checks passed.</x:v>
      </x:c>
    </x:row>
    <x:row r="13" ht="90" customHeight="1">
      <x:c r="A13" s="65" t="str">
        <x:v>SF09</x:v>
      </x:c>
      <x:c r="B13" s="65" t="str">
        <x:v>Single-Fact</x:v>
      </x:c>
      <x:c r="C13" s="65" t="str">
        <x:v>Hard</x:v>
      </x:c>
      <x:c r="D13" s="65" t="str">
        <x:v>聯電114年度的其他綜合損益淨額是多少？</x:v>
      </x:c>
      <x:c r="E13" s="65" t="str">
        <x:v>What was UMC's net other comprehensive income in 2025?</x:v>
      </x:c>
      <x:c r="F13" s="65" t="str">
        <x:v>## 簡明綜合損益表
| 項目 | 114年 |
| :--- | ---: |
| 其他綜合損益（淨額） | -4,859,711 |
來源單位：新臺幣仟元</x:v>
      </x:c>
      <x:c r="G13" s="65" t="str">
        <x:v>def solution():
    # Grounding（來源：簡明財報）
    net_other_comprehensive_income_2025 = -4859711
    return net_other_comprehensive_income_2025</x:v>
      </x:c>
      <x:c r="H13" s="67" t="n">
        <x:v>-4859711</x:v>
      </x:c>
      <x:c r="I13" s="65" t="str">
        <x:v>-4,859,711</x:v>
      </x:c>
      <x:c r="J13" s="65" t="str">
        <x:v>新臺幣仟元</x:v>
      </x:c>
      <x:c r="K13" s="65" t="str">
        <x:v>UMC_2025_other_comprehensive_income</x:v>
      </x:c>
      <x:c r="L13" s="67" t="n">
        <x:v>-4859711</x:v>
      </x:c>
      <x:c r="M13" s="66" t="b">
        <x:v>1</x:v>
      </x:c>
      <x:c r="N13" s="66" t="b">
        <x:v>1</x:v>
      </x:c>
      <x:c r="O13" s="66" t="b">
        <x:v>1</x:v>
      </x:c>
      <x:c r="P13" s="66" t="b">
        <x:v>1</x:v>
      </x:c>
      <x:c r="Q13" s="66" t="b">
        <x:v>1</x:v>
      </x:c>
      <x:c r="R13" s="66" t="b">
        <x:v>1</x:v>
      </x:c>
      <x:c r="S13" s="66" t="b">
        <x:v>1</x:v>
      </x:c>
      <x:c r="T13" s="65" t="str">
        <x:v>PASS</x:v>
      </x:c>
      <x:c r="U13" s="65" t="str">
        <x:v>All deterministic checks passed.</x:v>
      </x:c>
    </x:row>
    <x:row r="14" ht="90" customHeight="1">
      <x:c r="A14" s="65" t="str">
        <x:v>SF10</x:v>
      </x:c>
      <x:c r="B14" s="65" t="str">
        <x:v>Single-Fact</x:v>
      </x:c>
      <x:c r="C14" s="65" t="str">
        <x:v>Hard</x:v>
      </x:c>
      <x:c r="D14" s="65" t="str">
        <x:v>聯電112年12月31日資產負債表中的非控制權益是多少？</x:v>
      </x:c>
      <x:c r="E14" s="65" t="str">
        <x:v>What were UMC's non-controlling interests as of December 31, 2023?</x:v>
      </x:c>
      <x:c r="F14" s="65" t="str">
        <x:v>## 簡明資產負債表
| 項目 | 112年 |
| :--- | ---: |
| 非控制權益 | 340,859 |
來源單位：新臺幣仟元</x:v>
      </x:c>
      <x:c r="G14" s="65" t="str">
        <x:v>def solution():
    # Grounding（來源：簡明財報）
    non_controlling_interests_2023 = 340859
    return non_controlling_interests_2023</x:v>
      </x:c>
      <x:c r="H14" s="67" t="n">
        <x:v>340859</x:v>
      </x:c>
      <x:c r="I14" s="65" t="str">
        <x:v>340,859</x:v>
      </x:c>
      <x:c r="J14" s="65" t="str">
        <x:v>新臺幣仟元</x:v>
      </x:c>
      <x:c r="K14" s="65" t="str">
        <x:v>UMC_2023_nci_equity</x:v>
      </x:c>
      <x:c r="L14" s="67" t="n">
        <x:v>340859</x:v>
      </x:c>
      <x:c r="M14" s="66" t="b">
        <x:v>1</x:v>
      </x:c>
      <x:c r="N14" s="66" t="b">
        <x:v>1</x:v>
      </x:c>
      <x:c r="O14" s="66" t="b">
        <x:v>1</x:v>
      </x:c>
      <x:c r="P14" s="66" t="b">
        <x:v>1</x:v>
      </x:c>
      <x:c r="Q14" s="66" t="b">
        <x:v>1</x:v>
      </x:c>
      <x:c r="R14" s="66" t="b">
        <x:v>1</x:v>
      </x:c>
      <x:c r="S14" s="66" t="b">
        <x:v>1</x:v>
      </x:c>
      <x:c r="T14" s="65" t="str">
        <x:v>PASS</x:v>
      </x:c>
      <x:c r="U14" s="65" t="str">
        <x:v>All deterministic checks passed.</x:v>
      </x:c>
    </x:row>
    <x:row r="15" ht="90" customHeight="1">
      <x:c r="A15" s="65" t="str">
        <x:v>CP01</x:v>
      </x:c>
      <x:c r="B15" s="65" t="str">
        <x:v>Comparison</x:v>
      </x:c>
      <x:c r="C15" s="65" t="str">
        <x:v>Easy</x:v>
      </x:c>
      <x:c r="D15" s="65" t="str">
        <x:v>112至114年度中，聯電哪一年的營業收入最高？</x:v>
      </x:c>
      <x:c r="E15" s="65" t="str">
        <x:v>Which year had UMC's highest operating revenue from 2023 to 2025?</x:v>
      </x:c>
      <x:c r="F15" s="65" t="str">
        <x:v>## 簡明綜合損益表
| 項目 | 112年 | 113年 | 114年 |
| :--- | ---: | ---: | ---: |
| 營業收入 | 222,533,000 | 232,302,584 | 237,553,199 |
來源單位：新臺幣仟元</x:v>
      </x:c>
      <x:c r="G15" s="65" t="str">
        <x:v>def solution():
    # Grounding（來源：簡明財報）
    operating_revenue_by_year = {
        2023: 222533000,
        2024: 232302584,
        2025: 237553199,
    }
    result_year = max(operating_revenue_by_year, key=operating_revenue_by_year.get)
    return result_year</x:v>
      </x:c>
      <x:c r="H15" s="67" t="n">
        <x:v>2025</x:v>
      </x:c>
      <x:c r="I15" s="65" t="str">
        <x:v>114年（2025）</x:v>
      </x:c>
      <x:c r="J15" s="65" t="str">
        <x:v>年</x:v>
      </x:c>
      <x:c r="K15" s="65" t="str">
        <x:v>UMC_2023_operating_revenue; UMC_2024_operating_revenue; UMC_2025_operating_revenue</x:v>
      </x:c>
      <x:c r="L15" s="67" t="n">
        <x:v>2025</x:v>
      </x:c>
      <x:c r="M15" s="66" t="b">
        <x:v>1</x:v>
      </x:c>
      <x:c r="N15" s="66" t="b">
        <x:v>1</x:v>
      </x:c>
      <x:c r="O15" s="66" t="b">
        <x:v>1</x:v>
      </x:c>
      <x:c r="P15" s="66" t="b">
        <x:v>1</x:v>
      </x:c>
      <x:c r="Q15" s="66" t="b">
        <x:v>1</x:v>
      </x:c>
      <x:c r="R15" s="66" t="b">
        <x:v>1</x:v>
      </x:c>
      <x:c r="S15" s="66" t="b">
        <x:v>1</x:v>
      </x:c>
      <x:c r="T15" s="65" t="str">
        <x:v>PASS</x:v>
      </x:c>
      <x:c r="U15" s="65" t="str">
        <x:v>All deterministic checks passed.</x:v>
      </x:c>
    </x:row>
    <x:row r="16" ht="90" customHeight="1">
      <x:c r="A16" s="65" t="str">
        <x:v>CP02</x:v>
      </x:c>
      <x:c r="B16" s="65" t="str">
        <x:v>Comparison</x:v>
      </x:c>
      <x:c r="C16" s="65" t="str">
        <x:v>Easy</x:v>
      </x:c>
      <x:c r="D16" s="65" t="str">
        <x:v>112至114年度中，聯電哪一年的營業利益最低？</x:v>
      </x:c>
      <x:c r="E16" s="65" t="str">
        <x:v>Which year had UMC's lowest operating income from 2023 to 2025?</x:v>
      </x:c>
      <x:c r="F16" s="65" t="str">
        <x:v>## 簡明綜合損益表
| 項目 | 112年 | 113年 | 114年 |
| :--- | ---: | ---: | ---: |
| 營業利益（損失） | 57,890,661 | 51,612,570 | 43,948,688 |
來源單位：新臺幣仟元</x:v>
      </x:c>
      <x:c r="G16" s="65" t="str">
        <x:v>def solution():
    # Grounding（來源：簡明財報）
    operating_income_by_year = {
        2023: 57890661,
        2024: 51612570,
        2025: 43948688,
    }
    result_year = min(operating_income_by_year, key=operating_income_by_year.get)
    return result_year</x:v>
      </x:c>
      <x:c r="H16" s="67" t="n">
        <x:v>2025</x:v>
      </x:c>
      <x:c r="I16" s="65" t="str">
        <x:v>114年（2025）</x:v>
      </x:c>
      <x:c r="J16" s="65" t="str">
        <x:v>年</x:v>
      </x:c>
      <x:c r="K16" s="65" t="str">
        <x:v>UMC_2023_operating_income; UMC_2024_operating_income; UMC_2025_operating_income</x:v>
      </x:c>
      <x:c r="L16" s="67" t="n">
        <x:v>2025</x:v>
      </x:c>
      <x:c r="M16" s="66" t="b">
        <x:v>1</x:v>
      </x:c>
      <x:c r="N16" s="66" t="b">
        <x:v>1</x:v>
      </x:c>
      <x:c r="O16" s="66" t="b">
        <x:v>1</x:v>
      </x:c>
      <x:c r="P16" s="66" t="b">
        <x:v>1</x:v>
      </x:c>
      <x:c r="Q16" s="66" t="b">
        <x:v>1</x:v>
      </x:c>
      <x:c r="R16" s="66" t="b">
        <x:v>1</x:v>
      </x:c>
      <x:c r="S16" s="66" t="b">
        <x:v>1</x:v>
      </x:c>
      <x:c r="T16" s="65" t="str">
        <x:v>PASS</x:v>
      </x:c>
      <x:c r="U16" s="65" t="str">
        <x:v>All deterministic checks passed.</x:v>
      </x:c>
    </x:row>
    <x:row r="17" ht="90" customHeight="1">
      <x:c r="A17" s="65" t="str">
        <x:v>CP03</x:v>
      </x:c>
      <x:c r="B17" s="65" t="str">
        <x:v>Comparison</x:v>
      </x:c>
      <x:c r="C17" s="65" t="str">
        <x:v>Easy</x:v>
      </x:c>
      <x:c r="D17" s="65" t="str">
        <x:v>112至114年各年12月31日，聯電哪一年的資產總計最高？</x:v>
      </x:c>
      <x:c r="E17" s="65" t="str">
        <x:v>Which year had UMC's highest total assets from 2023 to 2025?</x:v>
      </x:c>
      <x:c r="F17" s="65" t="str">
        <x:v>## 簡明資產負債表
| 項目 | 112年 | 113年 | 114年 |
| :--- | ---: | ---: | ---: |
| 資產總計 | 559,186,927 | 570,200,677 | 578,996,009 |
來源單位：新臺幣仟元</x:v>
      </x:c>
      <x:c r="G17" s="65" t="str">
        <x:v>def solution():
    # Grounding（來源：簡明財報）
    total_assets_by_year = {
        2023: 559186927,
        2024: 570200677,
        2025: 578996009,
    }
    result_year = max(total_assets_by_year, key=total_assets_by_year.get)
    return result_year</x:v>
      </x:c>
      <x:c r="H17" s="67" t="n">
        <x:v>2025</x:v>
      </x:c>
      <x:c r="I17" s="65" t="str">
        <x:v>114年（2025）</x:v>
      </x:c>
      <x:c r="J17" s="65" t="str">
        <x:v>年</x:v>
      </x:c>
      <x:c r="K17" s="65" t="str">
        <x:v>UMC_2023_total_assets; UMC_2024_total_assets; UMC_2025_total_assets</x:v>
      </x:c>
      <x:c r="L17" s="67" t="n">
        <x:v>2025</x:v>
      </x:c>
      <x:c r="M17" s="66" t="b">
        <x:v>1</x:v>
      </x:c>
      <x:c r="N17" s="66" t="b">
        <x:v>1</x:v>
      </x:c>
      <x:c r="O17" s="66" t="b">
        <x:v>1</x:v>
      </x:c>
      <x:c r="P17" s="66" t="b">
        <x:v>1</x:v>
      </x:c>
      <x:c r="Q17" s="66" t="b">
        <x:v>1</x:v>
      </x:c>
      <x:c r="R17" s="66" t="b">
        <x:v>1</x:v>
      </x:c>
      <x:c r="S17" s="66" t="b">
        <x:v>1</x:v>
      </x:c>
      <x:c r="T17" s="65" t="str">
        <x:v>PASS</x:v>
      </x:c>
      <x:c r="U17" s="65" t="str">
        <x:v>All deterministic checks passed.</x:v>
      </x:c>
    </x:row>
    <x:row r="18" ht="90" customHeight="1">
      <x:c r="A18" s="65" t="str">
        <x:v>CP04</x:v>
      </x:c>
      <x:c r="B18" s="65" t="str">
        <x:v>Comparison</x:v>
      </x:c>
      <x:c r="C18" s="65" t="str">
        <x:v>Medium</x:v>
      </x:c>
      <x:c r="D18" s="65" t="str">
        <x:v>112至114年各年12月31日，聯電哪一年的負債總計最低？</x:v>
      </x:c>
      <x:c r="E18" s="65" t="str">
        <x:v>Which year had UMC's lowest total liabilities from 2023 to 2025?</x:v>
      </x:c>
      <x:c r="F18" s="65" t="str">
        <x:v>## 簡明資產負債表
| 項目 | 112年 | 113年 | 114年 |
| :--- | ---: | ---: | ---: |
| 負債總計 | 199,608,355 | 192,015,673 | 199,140,569 |
來源單位：新臺幣仟元</x:v>
      </x:c>
      <x:c r="G18" s="65" t="str">
        <x:v>def solution():
    # Grounding（來源：簡明財報）
    total_liabilities_by_year = {
        2023: 199608355,
        2024: 192015673,
        2025: 199140569,
    }
    result_year = min(total_liabilities_by_year, key=total_liabilities_by_year.get)
    return result_year</x:v>
      </x:c>
      <x:c r="H18" s="67" t="n">
        <x:v>2024</x:v>
      </x:c>
      <x:c r="I18" s="65" t="str">
        <x:v>113年（2024）</x:v>
      </x:c>
      <x:c r="J18" s="65" t="str">
        <x:v>年</x:v>
      </x:c>
      <x:c r="K18" s="65" t="str">
        <x:v>UMC_2023_total_liabilities; UMC_2024_total_liabilities; UMC_2025_total_liabilities</x:v>
      </x:c>
      <x:c r="L18" s="67" t="n">
        <x:v>2024</x:v>
      </x:c>
      <x:c r="M18" s="66" t="b">
        <x:v>1</x:v>
      </x:c>
      <x:c r="N18" s="66" t="b">
        <x:v>1</x:v>
      </x:c>
      <x:c r="O18" s="66" t="b">
        <x:v>1</x:v>
      </x:c>
      <x:c r="P18" s="66" t="b">
        <x:v>1</x:v>
      </x:c>
      <x:c r="Q18" s="66" t="b">
        <x:v>1</x:v>
      </x:c>
      <x:c r="R18" s="66" t="b">
        <x:v>1</x:v>
      </x:c>
      <x:c r="S18" s="66" t="b">
        <x:v>1</x:v>
      </x:c>
      <x:c r="T18" s="65" t="str">
        <x:v>PASS</x:v>
      </x:c>
      <x:c r="U18" s="65" t="str">
        <x:v>All deterministic checks passed.</x:v>
      </x:c>
    </x:row>
    <x:row r="19" ht="90" customHeight="1">
      <x:c r="A19" s="65" t="str">
        <x:v>CP05</x:v>
      </x:c>
      <x:c r="B19" s="65" t="str">
        <x:v>Comparison</x:v>
      </x:c>
      <x:c r="C19" s="65" t="str">
        <x:v>Medium</x:v>
      </x:c>
      <x:c r="D19" s="65" t="str">
        <x:v>112至114年各年12月31日，聯電哪一年的權益總計最高？</x:v>
      </x:c>
      <x:c r="E19" s="65" t="str">
        <x:v>Which year had UMC's highest total equity from 2023 to 2025?</x:v>
      </x:c>
      <x:c r="F19" s="65" t="str">
        <x:v>## 簡明資產負債表
| 項目 | 112年 | 113年 | 114年 |
| :--- | ---: | ---: | ---: |
| 權益總計 | 359,578,572 | 378,185,004 | 379,855,440 |
來源單位：新臺幣仟元</x:v>
      </x:c>
      <x:c r="G19" s="65" t="str">
        <x:v>def solution():
    # Grounding（來源：簡明財報）
    total_equity_by_year = {
        2023: 359578572,
        2024: 378185004,
        2025: 379855440,
    }
    result_year = max(total_equity_by_year, key=total_equity_by_year.get)
    return result_year</x:v>
      </x:c>
      <x:c r="H19" s="67" t="n">
        <x:v>2025</x:v>
      </x:c>
      <x:c r="I19" s="65" t="str">
        <x:v>114年（2025）</x:v>
      </x:c>
      <x:c r="J19" s="65" t="str">
        <x:v>年</x:v>
      </x:c>
      <x:c r="K19" s="65" t="str">
        <x:v>UMC_2023_total_equity; UMC_2024_total_equity; UMC_2025_total_equity</x:v>
      </x:c>
      <x:c r="L19" s="67" t="n">
        <x:v>2025</x:v>
      </x:c>
      <x:c r="M19" s="66" t="b">
        <x:v>1</x:v>
      </x:c>
      <x:c r="N19" s="66" t="b">
        <x:v>1</x:v>
      </x:c>
      <x:c r="O19" s="66" t="b">
        <x:v>1</x:v>
      </x:c>
      <x:c r="P19" s="66" t="b">
        <x:v>1</x:v>
      </x:c>
      <x:c r="Q19" s="66" t="b">
        <x:v>1</x:v>
      </x:c>
      <x:c r="R19" s="66" t="b">
        <x:v>1</x:v>
      </x:c>
      <x:c r="S19" s="66" t="b">
        <x:v>1</x:v>
      </x:c>
      <x:c r="T19" s="65" t="str">
        <x:v>PASS</x:v>
      </x:c>
      <x:c r="U19" s="65" t="str">
        <x:v>All deterministic checks passed.</x:v>
      </x:c>
    </x:row>
    <x:row r="20" ht="90" customHeight="1">
      <x:c r="A20" s="65" t="str">
        <x:v>CP06</x:v>
      </x:c>
      <x:c r="B20" s="65" t="str">
        <x:v>Comparison</x:v>
      </x:c>
      <x:c r="C20" s="65" t="str">
        <x:v>Medium</x:v>
      </x:c>
      <x:c r="D20" s="65" t="str">
        <x:v>112至114年各年12月31日，聯電哪一年的流動資產最低？</x:v>
      </x:c>
      <x:c r="E20" s="65" t="str">
        <x:v>Which year had UMC's lowest current assets from 2023 to 2025?</x:v>
      </x:c>
      <x:c r="F20" s="65" t="str">
        <x:v>## 簡明資產負債表
| 項目 | 112年 | 113年 | 114年 |
| :--- | ---: | ---: | ---: |
| 流動資產 | 216,797,392 | 189,677,884 | 204,783,258 |
來源單位：新臺幣仟元</x:v>
      </x:c>
      <x:c r="G20" s="65" t="str">
        <x:v>def solution():
    # Grounding（來源：簡明財報）
    current_assets_by_year = {
        2023: 216797392,
        2024: 189677884,
        2025: 204783258,
    }
    result_year = min(current_assets_by_year, key=current_assets_by_year.get)
    return result_year</x:v>
      </x:c>
      <x:c r="H20" s="67" t="n">
        <x:v>2024</x:v>
      </x:c>
      <x:c r="I20" s="65" t="str">
        <x:v>113年（2024）</x:v>
      </x:c>
      <x:c r="J20" s="65" t="str">
        <x:v>年</x:v>
      </x:c>
      <x:c r="K20" s="65" t="str">
        <x:v>UMC_2023_current_assets; UMC_2024_current_assets; UMC_2025_current_assets</x:v>
      </x:c>
      <x:c r="L20" s="67" t="n">
        <x:v>2024</x:v>
      </x:c>
      <x:c r="M20" s="66" t="b">
        <x:v>1</x:v>
      </x:c>
      <x:c r="N20" s="66" t="b">
        <x:v>1</x:v>
      </x:c>
      <x:c r="O20" s="66" t="b">
        <x:v>1</x:v>
      </x:c>
      <x:c r="P20" s="66" t="b">
        <x:v>1</x:v>
      </x:c>
      <x:c r="Q20" s="66" t="b">
        <x:v>1</x:v>
      </x:c>
      <x:c r="R20" s="66" t="b">
        <x:v>1</x:v>
      </x:c>
      <x:c r="S20" s="66" t="b">
        <x:v>1</x:v>
      </x:c>
      <x:c r="T20" s="65" t="str">
        <x:v>PASS</x:v>
      </x:c>
      <x:c r="U20" s="65" t="str">
        <x:v>All deterministic checks passed.</x:v>
      </x:c>
    </x:row>
    <x:row r="21" ht="90" customHeight="1">
      <x:c r="A21" s="65" t="str">
        <x:v>CP07</x:v>
      </x:c>
      <x:c r="B21" s="65" t="str">
        <x:v>Comparison</x:v>
      </x:c>
      <x:c r="C21" s="65" t="str">
        <x:v>Medium</x:v>
      </x:c>
      <x:c r="D21" s="65" t="str">
        <x:v>112至114年度中，聯電哪一年的營業費用最高？</x:v>
      </x:c>
      <x:c r="E21" s="65" t="str">
        <x:v>Which year had UMC's highest operating expenses from 2023 to 2025?</x:v>
      </x:c>
      <x:c r="F21" s="65" t="str">
        <x:v>## 簡明綜合損益表
| 項目 | 112年 | 113年 | 114年 |
| :--- | ---: | ---: | ---: |
| 營業費用 | 23,855,503 | 25,365,419 | 26,947,690 |
來源單位：新臺幣仟元</x:v>
      </x:c>
      <x:c r="G21" s="65" t="str">
        <x:v>def solution():
    # Grounding（來源：簡明財報）
    operating_expenses_by_year = {
        2023: 23855503,
        2024: 25365419,
        2025: 26947690,
    }
    result_year = max(operating_expenses_by_year, key=operating_expenses_by_year.get)
    return result_year</x:v>
      </x:c>
      <x:c r="H21" s="67" t="n">
        <x:v>2025</x:v>
      </x:c>
      <x:c r="I21" s="65" t="str">
        <x:v>114年（2025）</x:v>
      </x:c>
      <x:c r="J21" s="65" t="str">
        <x:v>年</x:v>
      </x:c>
      <x:c r="K21" s="65" t="str">
        <x:v>UMC_2023_operating_expenses; UMC_2024_operating_expenses; UMC_2025_operating_expenses</x:v>
      </x:c>
      <x:c r="L21" s="67" t="n">
        <x:v>2025</x:v>
      </x:c>
      <x:c r="M21" s="66" t="b">
        <x:v>1</x:v>
      </x:c>
      <x:c r="N21" s="66" t="b">
        <x:v>1</x:v>
      </x:c>
      <x:c r="O21" s="66" t="b">
        <x:v>1</x:v>
      </x:c>
      <x:c r="P21" s="66" t="b">
        <x:v>1</x:v>
      </x:c>
      <x:c r="Q21" s="66" t="b">
        <x:v>1</x:v>
      </x:c>
      <x:c r="R21" s="66" t="b">
        <x:v>1</x:v>
      </x:c>
      <x:c r="S21" s="66" t="b">
        <x:v>1</x:v>
      </x:c>
      <x:c r="T21" s="65" t="str">
        <x:v>PASS</x:v>
      </x:c>
      <x:c r="U21" s="65" t="str">
        <x:v>All deterministic checks passed.</x:v>
      </x:c>
    </x:row>
    <x:row r="22" ht="90" customHeight="1">
      <x:c r="A22" s="65" t="str">
        <x:v>CP08</x:v>
      </x:c>
      <x:c r="B22" s="65" t="str">
        <x:v>Comparison</x:v>
      </x:c>
      <x:c r="C22" s="65" t="str">
        <x:v>Hard</x:v>
      </x:c>
      <x:c r="D22" s="65" t="str">
        <x:v>112至114年度中，聯電哪一年的其他綜合損益淨額最高？</x:v>
      </x:c>
      <x:c r="E22" s="65" t="str">
        <x:v>Which year had UMC's highest net other comprehensive income from 2023 to 2025?</x:v>
      </x:c>
      <x:c r="F22" s="65" t="str">
        <x:v>## 簡明綜合損益表
| 項目 | 112年 | 113年 | 114年 |
| :--- | ---: | ---: | ---: |
| 其他綜合損益（淨額） | 6,417,926 | 8,300,984 | -4,859,711 |
來源單位：新臺幣仟元</x:v>
      </x:c>
      <x:c r="G22" s="65" t="str">
        <x:v>def solution():
    # Grounding（來源：簡明財報）
    net_other_comprehensive_income_by_year = {
        2023: 6417926,
        2024: 8300984,
        2025: -4859711,
    }
    result_year = max(net_other_comprehensive_income_by_year, key=net_other_comprehensive_income_by_year.get)
    return result_year</x:v>
      </x:c>
      <x:c r="H22" s="67" t="n">
        <x:v>2024</x:v>
      </x:c>
      <x:c r="I22" s="65" t="str">
        <x:v>113年（2024）</x:v>
      </x:c>
      <x:c r="J22" s="65" t="str">
        <x:v>年</x:v>
      </x:c>
      <x:c r="K22" s="65" t="str">
        <x:v>UMC_2023_other_comprehensive_income; UMC_2024_other_comprehensive_income; UMC_2025_other_comprehensive_income</x:v>
      </x:c>
      <x:c r="L22" s="67" t="n">
        <x:v>2024</x:v>
      </x:c>
      <x:c r="M22" s="66" t="b">
        <x:v>1</x:v>
      </x:c>
      <x:c r="N22" s="66" t="b">
        <x:v>1</x:v>
      </x:c>
      <x:c r="O22" s="66" t="b">
        <x:v>1</x:v>
      </x:c>
      <x:c r="P22" s="66" t="b">
        <x:v>1</x:v>
      </x:c>
      <x:c r="Q22" s="66" t="b">
        <x:v>1</x:v>
      </x:c>
      <x:c r="R22" s="66" t="b">
        <x:v>1</x:v>
      </x:c>
      <x:c r="S22" s="66" t="b">
        <x:v>1</x:v>
      </x:c>
      <x:c r="T22" s="65" t="str">
        <x:v>PASS</x:v>
      </x:c>
      <x:c r="U22" s="65" t="str">
        <x:v>All deterministic checks passed.</x:v>
      </x:c>
    </x:row>
    <x:row r="23" ht="90" customHeight="1">
      <x:c r="A23" s="65" t="str">
        <x:v>CP09</x:v>
      </x:c>
      <x:c r="B23" s="65" t="str">
        <x:v>Comparison</x:v>
      </x:c>
      <x:c r="C23" s="65" t="str">
        <x:v>Hard</x:v>
      </x:c>
      <x:c r="D23" s="65" t="str">
        <x:v>112至114年度中，聯電哪一年的淨利歸屬於非控制權益最低？</x:v>
      </x:c>
      <x:c r="E23" s="65" t="str">
        <x:v>Which year had UMC's lowest net profit attributable to non-controlling interests from 2023 to 2025?</x:v>
      </x:c>
      <x:c r="F23" s="65" t="str">
        <x:v>## 簡明綜合損益表
| 項目 | 112年 | 113年 | 114年 |
| :--- | ---: | ---: | ---: |
| 淨利歸屬於非控制權益 | 450,184 | -104,674 | -181,501 |
來源單位：新臺幣仟元</x:v>
      </x:c>
      <x:c r="G23" s="65" t="str">
        <x:v>def solution():
    # Grounding（來源：簡明財報）
    net_profit_attributable_to_nci_by_year = {
        2023: 450184,
        2024: -104674,
        2025: -181501,
    }
    result_year = min(net_profit_attributable_to_nci_by_year, key=net_profit_attributable_to_nci_by_year.get)
    return result_year</x:v>
      </x:c>
      <x:c r="H23" s="67" t="n">
        <x:v>2025</x:v>
      </x:c>
      <x:c r="I23" s="65" t="str">
        <x:v>114年（2025）</x:v>
      </x:c>
      <x:c r="J23" s="65" t="str">
        <x:v>年</x:v>
      </x:c>
      <x:c r="K23" s="65" t="str">
        <x:v>UMC_2023_profit_attributable_nci; UMC_2024_profit_attributable_nci; UMC_2025_profit_attributable_nci</x:v>
      </x:c>
      <x:c r="L23" s="67" t="n">
        <x:v>2025</x:v>
      </x:c>
      <x:c r="M23" s="66" t="b">
        <x:v>1</x:v>
      </x:c>
      <x:c r="N23" s="66" t="b">
        <x:v>1</x:v>
      </x:c>
      <x:c r="O23" s="66" t="b">
        <x:v>1</x:v>
      </x:c>
      <x:c r="P23" s="66" t="b">
        <x:v>1</x:v>
      </x:c>
      <x:c r="Q23" s="66" t="b">
        <x:v>1</x:v>
      </x:c>
      <x:c r="R23" s="66" t="b">
        <x:v>1</x:v>
      </x:c>
      <x:c r="S23" s="66" t="b">
        <x:v>1</x:v>
      </x:c>
      <x:c r="T23" s="65" t="str">
        <x:v>PASS</x:v>
      </x:c>
      <x:c r="U23" s="65" t="str">
        <x:v>All deterministic checks passed.</x:v>
      </x:c>
    </x:row>
    <x:row r="24" ht="90" customHeight="1">
      <x:c r="A24" s="65" t="str">
        <x:v>CP10</x:v>
      </x:c>
      <x:c r="B24" s="65" t="str">
        <x:v>Comparison</x:v>
      </x:c>
      <x:c r="C24" s="65" t="str">
        <x:v>Hard</x:v>
      </x:c>
      <x:c r="D24" s="65" t="str">
        <x:v>112至114年各年12月31日，聯電哪一年的歸屬於母公司業主之權益合計最高？</x:v>
      </x:c>
      <x:c r="E24" s="65" t="str">
        <x:v>Which year had UMC's highest equity attributable to owners of the parent from 2023 to 2025?</x:v>
      </x:c>
      <x:c r="F24" s="65" t="str">
        <x:v>## 簡明資產負債表
| 項目 | 112年 | 113年 | 114年 |
| :--- | ---: | ---: | ---: |
| 歸屬於母公司業主之權益合計 | 359,237,713 | 377,928,391 | 379,768,265 |
來源單位：新臺幣仟元</x:v>
      </x:c>
      <x:c r="G24" s="65" t="str">
        <x:v>def solution():
    # Grounding（來源：簡明財報）
    equity_attributable_to_parent_by_year = {
        2023: 359237713,
        2024: 377928391,
        2025: 379768265,
    }
    result_year = max(equity_attributable_to_parent_by_year, key=equity_attributable_to_parent_by_year.get)
    return result_year</x:v>
      </x:c>
      <x:c r="H24" s="67" t="n">
        <x:v>2025</x:v>
      </x:c>
      <x:c r="I24" s="65" t="str">
        <x:v>114年（2025）</x:v>
      </x:c>
      <x:c r="J24" s="65" t="str">
        <x:v>年</x:v>
      </x:c>
      <x:c r="K24" s="65" t="str">
        <x:v>UMC_2023_equity_parent; UMC_2024_equity_parent; UMC_2025_equity_parent</x:v>
      </x:c>
      <x:c r="L24" s="67" t="n">
        <x:v>2025</x:v>
      </x:c>
      <x:c r="M24" s="66" t="b">
        <x:v>1</x:v>
      </x:c>
      <x:c r="N24" s="66" t="b">
        <x:v>1</x:v>
      </x:c>
      <x:c r="O24" s="66" t="b">
        <x:v>1</x:v>
      </x:c>
      <x:c r="P24" s="66" t="b">
        <x:v>1</x:v>
      </x:c>
      <x:c r="Q24" s="66" t="b">
        <x:v>1</x:v>
      </x:c>
      <x:c r="R24" s="66" t="b">
        <x:v>1</x:v>
      </x:c>
      <x:c r="S24" s="66" t="b">
        <x:v>1</x:v>
      </x:c>
      <x:c r="T24" s="65" t="str">
        <x:v>PASS</x:v>
      </x:c>
      <x:c r="U24" s="65" t="str">
        <x:v>All deterministic checks passed.</x:v>
      </x:c>
    </x:row>
    <x:row r="25" ht="90" customHeight="1">
      <x:c r="A25" s="65" t="str">
        <x:v>GR01</x:v>
      </x:c>
      <x:c r="B25" s="65" t="str">
        <x:v>Growth_Rate</x:v>
      </x:c>
      <x:c r="C25" s="65" t="str">
        <x:v>Easy</x:v>
      </x:c>
      <x:c r="D25" s="65" t="str">
        <x:v>聯電113年度營業收入相較112年度的成長率為何？</x:v>
      </x:c>
      <x:c r="E25" s="65" t="str">
        <x:v>What was the growth rate of UMC's operating revenue from 2023 to 2024?</x:v>
      </x:c>
      <x:c r="F25" s="65" t="str">
        <x:v>## 簡明綜合損益表
| 項目 | 112年 | 113年 |
| :--- | ---: | ---: |
| 營業收入 | 222,533,000 | 232,302,584 |
來源單位：新臺幣仟元</x:v>
      </x:c>
      <x:c r="G25" s="65" t="str">
        <x:v>def solution():
    # Grounding（來源：簡明財報）
    operating_revenue_2023 = 222533000
    operating_revenue_2024 = 232302584
    # Reasoning：成長率 = (新期 - 舊期) / 舊期
    growth_rate = (operating_revenue_2024 - operating_revenue_2023) / operating_revenue_2023
    return round(growth_rate * 100, 2)</x:v>
      </x:c>
      <x:c r="H25" s="67" t="n">
        <x:v>4.39</x:v>
      </x:c>
      <x:c r="I25" s="65" t="str">
        <x:v>4.39%</x:v>
      </x:c>
      <x:c r="J25" s="65" t="str">
        <x:v>%</x:v>
      </x:c>
      <x:c r="K25" s="65" t="str">
        <x:v>UMC_2023_operating_revenue; UMC_2024_operating_revenue</x:v>
      </x:c>
      <x:c r="L25" s="67" t="n">
        <x:v>4.39</x:v>
      </x:c>
      <x:c r="M25" s="66" t="b">
        <x:v>1</x:v>
      </x:c>
      <x:c r="N25" s="66" t="b">
        <x:v>1</x:v>
      </x:c>
      <x:c r="O25" s="66" t="b">
        <x:v>1</x:v>
      </x:c>
      <x:c r="P25" s="66" t="b">
        <x:v>1</x:v>
      </x:c>
      <x:c r="Q25" s="66" t="b">
        <x:v>1</x:v>
      </x:c>
      <x:c r="R25" s="66" t="b">
        <x:v>1</x:v>
      </x:c>
      <x:c r="S25" s="66" t="b">
        <x:v>1</x:v>
      </x:c>
      <x:c r="T25" s="65" t="str">
        <x:v>PASS</x:v>
      </x:c>
      <x:c r="U25" s="65" t="str">
        <x:v>All deterministic checks passed.</x:v>
      </x:c>
    </x:row>
    <x:row r="26" ht="90" customHeight="1">
      <x:c r="A26" s="65" t="str">
        <x:v>GR02</x:v>
      </x:c>
      <x:c r="B26" s="65" t="str">
        <x:v>Growth_Rate</x:v>
      </x:c>
      <x:c r="C26" s="65" t="str">
        <x:v>Easy</x:v>
      </x:c>
      <x:c r="D26" s="65" t="str">
        <x:v>聯電114年度營業收入相較113年度的成長率為何？</x:v>
      </x:c>
      <x:c r="E26" s="65" t="str">
        <x:v>What was the growth rate of UMC's operating revenue from 2024 to 2025?</x:v>
      </x:c>
      <x:c r="F26" s="65" t="str">
        <x:v>## 簡明綜合損益表
| 項目 | 113年 | 114年 |
| :--- | ---: | ---: |
| 營業收入 | 232,302,584 | 237,553,199 |
來源單位：新臺幣仟元</x:v>
      </x:c>
      <x:c r="G26" s="65" t="str">
        <x:v>def solution():
    # Grounding（來源：簡明財報）
    operating_revenue_2024 = 232302584
    operating_revenue_2025 = 237553199
    # Reasoning：成長率 = (新期 - 舊期) / 舊期
    growth_rate = (operating_revenue_2025 - operating_revenue_2024) / operating_revenue_2024
    return round(growth_rate * 100, 2)</x:v>
      </x:c>
      <x:c r="H26" s="67" t="n">
        <x:v>2.26</x:v>
      </x:c>
      <x:c r="I26" s="65" t="str">
        <x:v>2.26%</x:v>
      </x:c>
      <x:c r="J26" s="65" t="str">
        <x:v>%</x:v>
      </x:c>
      <x:c r="K26" s="65" t="str">
        <x:v>UMC_2024_operating_revenue; UMC_2025_operating_revenue</x:v>
      </x:c>
      <x:c r="L26" s="67" t="n">
        <x:v>2.26</x:v>
      </x:c>
      <x:c r="M26" s="66" t="b">
        <x:v>1</x:v>
      </x:c>
      <x:c r="N26" s="66" t="b">
        <x:v>1</x:v>
      </x:c>
      <x:c r="O26" s="66" t="b">
        <x:v>1</x:v>
      </x:c>
      <x:c r="P26" s="66" t="b">
        <x:v>1</x:v>
      </x:c>
      <x:c r="Q26" s="66" t="b">
        <x:v>1</x:v>
      </x:c>
      <x:c r="R26" s="66" t="b">
        <x:v>1</x:v>
      </x:c>
      <x:c r="S26" s="66" t="b">
        <x:v>1</x:v>
      </x:c>
      <x:c r="T26" s="65" t="str">
        <x:v>PASS</x:v>
      </x:c>
      <x:c r="U26" s="65" t="str">
        <x:v>All deterministic checks passed.</x:v>
      </x:c>
    </x:row>
    <x:row r="27" ht="90" customHeight="1">
      <x:c r="A27" s="65" t="str">
        <x:v>GR03</x:v>
      </x:c>
      <x:c r="B27" s="65" t="str">
        <x:v>Growth_Rate</x:v>
      </x:c>
      <x:c r="C27" s="65" t="str">
        <x:v>Easy</x:v>
      </x:c>
      <x:c r="D27" s="65" t="str">
        <x:v>聯電114年資產總計相較113年的成長率為何？</x:v>
      </x:c>
      <x:c r="E27" s="65" t="str">
        <x:v>What was the growth rate of UMC's total assets from 2024 to 2025?</x:v>
      </x:c>
      <x:c r="F27" s="65" t="str">
        <x:v>## 簡明資產負債表
| 項目 | 113年 | 114年 |
| :--- | ---: | ---: |
| 資產總計 | 570,200,677 | 578,996,009 |
來源單位：新臺幣仟元</x:v>
      </x:c>
      <x:c r="G27" s="65" t="str">
        <x:v>def solution():
    # Grounding（來源：簡明財報）
    total_assets_2024 = 570200677
    total_assets_2025 = 578996009
    # Reasoning：成長率 = (新期 - 舊期) / 舊期
    growth_rate = (total_assets_2025 - total_assets_2024) / total_assets_2024
    return round(growth_rate * 100, 2)</x:v>
      </x:c>
      <x:c r="H27" s="67" t="n">
        <x:v>1.54</x:v>
      </x:c>
      <x:c r="I27" s="65" t="str">
        <x:v>1.54%</x:v>
      </x:c>
      <x:c r="J27" s="65" t="str">
        <x:v>%</x:v>
      </x:c>
      <x:c r="K27" s="65" t="str">
        <x:v>UMC_2024_total_assets; UMC_2025_total_assets</x:v>
      </x:c>
      <x:c r="L27" s="67" t="n">
        <x:v>1.54</x:v>
      </x:c>
      <x:c r="M27" s="66" t="b">
        <x:v>1</x:v>
      </x:c>
      <x:c r="N27" s="66" t="b">
        <x:v>1</x:v>
      </x:c>
      <x:c r="O27" s="66" t="b">
        <x:v>1</x:v>
      </x:c>
      <x:c r="P27" s="66" t="b">
        <x:v>1</x:v>
      </x:c>
      <x:c r="Q27" s="66" t="b">
        <x:v>1</x:v>
      </x:c>
      <x:c r="R27" s="66" t="b">
        <x:v>1</x:v>
      </x:c>
      <x:c r="S27" s="66" t="b">
        <x:v>1</x:v>
      </x:c>
      <x:c r="T27" s="65" t="str">
        <x:v>PASS</x:v>
      </x:c>
      <x:c r="U27" s="65" t="str">
        <x:v>All deterministic checks passed.</x:v>
      </x:c>
    </x:row>
    <x:row r="28" ht="90" customHeight="1">
      <x:c r="A28" s="65" t="str">
        <x:v>GR04</x:v>
      </x:c>
      <x:c r="B28" s="65" t="str">
        <x:v>Growth_Rate</x:v>
      </x:c>
      <x:c r="C28" s="65" t="str">
        <x:v>Medium</x:v>
      </x:c>
      <x:c r="D28" s="65" t="str">
        <x:v>聯電113年負債總計相較112年的成長率為何？</x:v>
      </x:c>
      <x:c r="E28" s="65" t="str">
        <x:v>What was the growth rate of UMC's total liabilities from 2023 to 2024?</x:v>
      </x:c>
      <x:c r="F28" s="65" t="str">
        <x:v>## 簡明資產負債表
| 項目 | 112年 | 113年 |
| :--- | ---: | ---: |
| 負債總計 | 199,608,355 | 192,015,673 |
來源單位：新臺幣仟元</x:v>
      </x:c>
      <x:c r="G28" s="65" t="str">
        <x:v>def solution():
    # Grounding（來源：簡明財報）
    total_liabilities_2023 = 199608355
    total_liabilities_2024 = 192015673
    # Reasoning：成長率 = (新期 - 舊期) / 舊期
    growth_rate = (total_liabilities_2024 - total_liabilities_2023) / total_liabilities_2023
    return round(growth_rate * 100, 2)</x:v>
      </x:c>
      <x:c r="H28" s="67" t="n">
        <x:v>-3.8</x:v>
      </x:c>
      <x:c r="I28" s="65" t="str">
        <x:v>-3.80%</x:v>
      </x:c>
      <x:c r="J28" s="65" t="str">
        <x:v>%</x:v>
      </x:c>
      <x:c r="K28" s="65" t="str">
        <x:v>UMC_2023_total_liabilities; UMC_2024_total_liabilities</x:v>
      </x:c>
      <x:c r="L28" s="67" t="n">
        <x:v>-3.8</x:v>
      </x:c>
      <x:c r="M28" s="66" t="b">
        <x:v>1</x:v>
      </x:c>
      <x:c r="N28" s="66" t="b">
        <x:v>1</x:v>
      </x:c>
      <x:c r="O28" s="66" t="b">
        <x:v>1</x:v>
      </x:c>
      <x:c r="P28" s="66" t="b">
        <x:v>1</x:v>
      </x:c>
      <x:c r="Q28" s="66" t="b">
        <x:v>1</x:v>
      </x:c>
      <x:c r="R28" s="66" t="b">
        <x:v>1</x:v>
      </x:c>
      <x:c r="S28" s="66" t="b">
        <x:v>1</x:v>
      </x:c>
      <x:c r="T28" s="65" t="str">
        <x:v>PASS</x:v>
      </x:c>
      <x:c r="U28" s="65" t="str">
        <x:v>All deterministic checks passed.</x:v>
      </x:c>
    </x:row>
    <x:row r="29" ht="90" customHeight="1">
      <x:c r="A29" s="65" t="str">
        <x:v>GR05</x:v>
      </x:c>
      <x:c r="B29" s="65" t="str">
        <x:v>Growth_Rate</x:v>
      </x:c>
      <x:c r="C29" s="65" t="str">
        <x:v>Medium</x:v>
      </x:c>
      <x:c r="D29" s="65" t="str">
        <x:v>聯電114年度營業利益相較113年度的成長率為何？</x:v>
      </x:c>
      <x:c r="E29" s="65" t="str">
        <x:v>What was the growth rate of UMC's operating income from 2024 to 2025?</x:v>
      </x:c>
      <x:c r="F29" s="65" t="str">
        <x:v>## 簡明綜合損益表
| 項目 | 113年 | 114年 |
| :--- | ---: | ---: |
| 營業利益（損失） | 51,612,570 | 43,948,688 |
來源單位：新臺幣仟元</x:v>
      </x:c>
      <x:c r="G29" s="65" t="str">
        <x:v>def solution():
    # Grounding（來源：簡明財報）
    operating_income_2024 = 51612570
    operating_income_2025 = 43948688
    # Reasoning：成長率 = (新期 - 舊期) / 舊期
    growth_rate = (operating_income_2025 - operating_income_2024) / operating_income_2024
    return round(growth_rate * 100, 2)</x:v>
      </x:c>
      <x:c r="H29" s="67" t="n">
        <x:v>-14.85</x:v>
      </x:c>
      <x:c r="I29" s="65" t="str">
        <x:v>-14.85%</x:v>
      </x:c>
      <x:c r="J29" s="65" t="str">
        <x:v>%</x:v>
      </x:c>
      <x:c r="K29" s="65" t="str">
        <x:v>UMC_2024_operating_income; UMC_2025_operating_income</x:v>
      </x:c>
      <x:c r="L29" s="67" t="n">
        <x:v>-14.85</x:v>
      </x:c>
      <x:c r="M29" s="66" t="b">
        <x:v>1</x:v>
      </x:c>
      <x:c r="N29" s="66" t="b">
        <x:v>1</x:v>
      </x:c>
      <x:c r="O29" s="66" t="b">
        <x:v>1</x:v>
      </x:c>
      <x:c r="P29" s="66" t="b">
        <x:v>1</x:v>
      </x:c>
      <x:c r="Q29" s="66" t="b">
        <x:v>1</x:v>
      </x:c>
      <x:c r="R29" s="66" t="b">
        <x:v>1</x:v>
      </x:c>
      <x:c r="S29" s="66" t="b">
        <x:v>1</x:v>
      </x:c>
      <x:c r="T29" s="65" t="str">
        <x:v>PASS</x:v>
      </x:c>
      <x:c r="U29" s="65" t="str">
        <x:v>All deterministic checks passed.</x:v>
      </x:c>
    </x:row>
    <x:row r="30" ht="90" customHeight="1">
      <x:c r="A30" s="65" t="str">
        <x:v>GR06</x:v>
      </x:c>
      <x:c r="B30" s="65" t="str">
        <x:v>Growth_Rate</x:v>
      </x:c>
      <x:c r="C30" s="65" t="str">
        <x:v>Medium</x:v>
      </x:c>
      <x:c r="D30" s="65" t="str">
        <x:v>聯電113年度營業毛利相較112年度的成長率為何？</x:v>
      </x:c>
      <x:c r="E30" s="65" t="str">
        <x:v>What was the growth rate of UMC's gross profit from 2023 to 2024?</x:v>
      </x:c>
      <x:c r="F30" s="65" t="str">
        <x:v>## 簡明綜合損益表
| 項目 | 112年 | 113年 |
| :--- | ---: | ---: |
| 營業毛利（毛損） | 77,743,838 | 75,654,080 |
來源單位：新臺幣仟元</x:v>
      </x:c>
      <x:c r="G30" s="65" t="str">
        <x:v>def solution():
    # Grounding（來源：簡明財報）
    gross_profit_2023 = 77743838
    gross_profit_2024 = 75654080
    # Reasoning：成長率 = (新期 - 舊期) / 舊期
    growth_rate = (gross_profit_2024 - gross_profit_2023) / gross_profit_2023
    return round(growth_rate * 100, 2)</x:v>
      </x:c>
      <x:c r="H30" s="67" t="n">
        <x:v>-2.69</x:v>
      </x:c>
      <x:c r="I30" s="65" t="str">
        <x:v>-2.69%</x:v>
      </x:c>
      <x:c r="J30" s="65" t="str">
        <x:v>%</x:v>
      </x:c>
      <x:c r="K30" s="65" t="str">
        <x:v>UMC_2023_gross_profit; UMC_2024_gross_profit</x:v>
      </x:c>
      <x:c r="L30" s="67" t="n">
        <x:v>-2.69</x:v>
      </x:c>
      <x:c r="M30" s="66" t="b">
        <x:v>1</x:v>
      </x:c>
      <x:c r="N30" s="66" t="b">
        <x:v>1</x:v>
      </x:c>
      <x:c r="O30" s="66" t="b">
        <x:v>1</x:v>
      </x:c>
      <x:c r="P30" s="66" t="b">
        <x:v>1</x:v>
      </x:c>
      <x:c r="Q30" s="66" t="b">
        <x:v>1</x:v>
      </x:c>
      <x:c r="R30" s="66" t="b">
        <x:v>1</x:v>
      </x:c>
      <x:c r="S30" s="66" t="b">
        <x:v>1</x:v>
      </x:c>
      <x:c r="T30" s="65" t="str">
        <x:v>PASS</x:v>
      </x:c>
      <x:c r="U30" s="65" t="str">
        <x:v>All deterministic checks passed.</x:v>
      </x:c>
    </x:row>
    <x:row r="31" ht="90" customHeight="1">
      <x:c r="A31" s="65" t="str">
        <x:v>GR07</x:v>
      </x:c>
      <x:c r="B31" s="65" t="str">
        <x:v>Growth_Rate</x:v>
      </x:c>
      <x:c r="C31" s="65" t="str">
        <x:v>Medium</x:v>
      </x:c>
      <x:c r="D31" s="65" t="str">
        <x:v>聯電114年度營業費用相較113年度的成長率為何？</x:v>
      </x:c>
      <x:c r="E31" s="65" t="str">
        <x:v>What was the growth rate of UMC's operating expenses from 2024 to 2025?</x:v>
      </x:c>
      <x:c r="F31" s="65" t="str">
        <x:v>## 簡明綜合損益表
| 項目 | 113年 | 114年 |
| :--- | ---: | ---: |
| 營業費用 | 25,365,419 | 26,947,690 |
來源單位：新臺幣仟元</x:v>
      </x:c>
      <x:c r="G31" s="65" t="str">
        <x:v>def solution():
    # Grounding（來源：簡明財報）
    operating_expenses_2024 = 25365419
    operating_expenses_2025 = 26947690
    # Reasoning：成長率 = (新期 - 舊期) / 舊期
    growth_rate = (operating_expenses_2025 - operating_expenses_2024) / operating_expenses_2024
    return round(growth_rate * 100, 2)</x:v>
      </x:c>
      <x:c r="H31" s="67" t="n">
        <x:v>6.24</x:v>
      </x:c>
      <x:c r="I31" s="65" t="str">
        <x:v>6.24%</x:v>
      </x:c>
      <x:c r="J31" s="65" t="str">
        <x:v>%</x:v>
      </x:c>
      <x:c r="K31" s="65" t="str">
        <x:v>UMC_2024_operating_expenses; UMC_2025_operating_expenses</x:v>
      </x:c>
      <x:c r="L31" s="67" t="n">
        <x:v>6.24</x:v>
      </x:c>
      <x:c r="M31" s="66" t="b">
        <x:v>1</x:v>
      </x:c>
      <x:c r="N31" s="66" t="b">
        <x:v>1</x:v>
      </x:c>
      <x:c r="O31" s="66" t="b">
        <x:v>1</x:v>
      </x:c>
      <x:c r="P31" s="66" t="b">
        <x:v>1</x:v>
      </x:c>
      <x:c r="Q31" s="66" t="b">
        <x:v>1</x:v>
      </x:c>
      <x:c r="R31" s="66" t="b">
        <x:v>1</x:v>
      </x:c>
      <x:c r="S31" s="66" t="b">
        <x:v>1</x:v>
      </x:c>
      <x:c r="T31" s="65" t="str">
        <x:v>PASS</x:v>
      </x:c>
      <x:c r="U31" s="65" t="str">
        <x:v>All deterministic checks passed.</x:v>
      </x:c>
    </x:row>
    <x:row r="32" ht="90" customHeight="1">
      <x:c r="A32" s="65" t="str">
        <x:v>GR08</x:v>
      </x:c>
      <x:c r="B32" s="65" t="str">
        <x:v>Growth_Rate</x:v>
      </x:c>
      <x:c r="C32" s="65" t="str">
        <x:v>Hard</x:v>
      </x:c>
      <x:c r="D32" s="65" t="str">
        <x:v>聯電113年權益總計相較112年的成長率為何？</x:v>
      </x:c>
      <x:c r="E32" s="65" t="str">
        <x:v>What was the growth rate of UMC's total equity from 2023 to 2024?</x:v>
      </x:c>
      <x:c r="F32" s="65" t="str">
        <x:v>## 簡明資產負債表
| 項目 | 112年 | 113年 |
| :--- | ---: | ---: |
| 權益總計 | 359,578,572 | 378,185,004 |
來源單位：新臺幣仟元</x:v>
      </x:c>
      <x:c r="G32" s="65" t="str">
        <x:v>def solution():
    # Grounding（來源：簡明財報）
    total_equity_2023 = 359578572
    total_equity_2024 = 378185004
    # Reasoning：成長率 = (新期 - 舊期) / 舊期
    growth_rate = (total_equity_2024 - total_equity_2023) / total_equity_2023
    return round(growth_rate * 100, 2)</x:v>
      </x:c>
      <x:c r="H32" s="67" t="n">
        <x:v>5.17</x:v>
      </x:c>
      <x:c r="I32" s="65" t="str">
        <x:v>5.17%</x:v>
      </x:c>
      <x:c r="J32" s="65" t="str">
        <x:v>%</x:v>
      </x:c>
      <x:c r="K32" s="65" t="str">
        <x:v>UMC_2023_total_equity; UMC_2024_total_equity</x:v>
      </x:c>
      <x:c r="L32" s="67" t="n">
        <x:v>5.17</x:v>
      </x:c>
      <x:c r="M32" s="66" t="b">
        <x:v>1</x:v>
      </x:c>
      <x:c r="N32" s="66" t="b">
        <x:v>1</x:v>
      </x:c>
      <x:c r="O32" s="66" t="b">
        <x:v>1</x:v>
      </x:c>
      <x:c r="P32" s="66" t="b">
        <x:v>1</x:v>
      </x:c>
      <x:c r="Q32" s="66" t="b">
        <x:v>1</x:v>
      </x:c>
      <x:c r="R32" s="66" t="b">
        <x:v>1</x:v>
      </x:c>
      <x:c r="S32" s="66" t="b">
        <x:v>1</x:v>
      </x:c>
      <x:c r="T32" s="65" t="str">
        <x:v>PASS</x:v>
      </x:c>
      <x:c r="U32" s="65" t="str">
        <x:v>All deterministic checks passed.</x:v>
      </x:c>
    </x:row>
    <x:row r="33" ht="90" customHeight="1">
      <x:c r="A33" s="65" t="str">
        <x:v>GR09</x:v>
      </x:c>
      <x:c r="B33" s="65" t="str">
        <x:v>Growth_Rate</x:v>
      </x:c>
      <x:c r="C33" s="65" t="str">
        <x:v>Hard</x:v>
      </x:c>
      <x:c r="D33" s="65" t="str">
        <x:v>聯電114年度本期淨利相較113年度的成長率為何？</x:v>
      </x:c>
      <x:c r="E33" s="65" t="str">
        <x:v>What was the growth rate of UMC's net profit from 2024 to 2025?</x:v>
      </x:c>
      <x:c r="F33" s="65" t="str">
        <x:v>## 簡明綜合損益表
| 項目 | 113年 | 114年 |
| :--- | ---: | ---: |
| 本期淨利（淨損） | 47,106,256 | 41,534,748 |
來源單位：新臺幣仟元</x:v>
      </x:c>
      <x:c r="G33" s="65" t="str">
        <x:v>def solution():
    # Grounding（來源：簡明財報）
    net_profit_2024 = 47106256
    net_profit_2025 = 41534748
    # Reasoning：成長率 = (新期 - 舊期) / 舊期
    growth_rate = (net_profit_2025 - net_profit_2024) / net_profit_2024
    return round(growth_rate * 100, 2)</x:v>
      </x:c>
      <x:c r="H33" s="67" t="n">
        <x:v>-11.83</x:v>
      </x:c>
      <x:c r="I33" s="65" t="str">
        <x:v>-11.83%</x:v>
      </x:c>
      <x:c r="J33" s="65" t="str">
        <x:v>%</x:v>
      </x:c>
      <x:c r="K33" s="65" t="str">
        <x:v>UMC_2024_net_profit; UMC_2025_net_profit</x:v>
      </x:c>
      <x:c r="L33" s="67" t="n">
        <x:v>-11.83</x:v>
      </x:c>
      <x:c r="M33" s="66" t="b">
        <x:v>1</x:v>
      </x:c>
      <x:c r="N33" s="66" t="b">
        <x:v>1</x:v>
      </x:c>
      <x:c r="O33" s="66" t="b">
        <x:v>1</x:v>
      </x:c>
      <x:c r="P33" s="66" t="b">
        <x:v>1</x:v>
      </x:c>
      <x:c r="Q33" s="66" t="b">
        <x:v>1</x:v>
      </x:c>
      <x:c r="R33" s="66" t="b">
        <x:v>1</x:v>
      </x:c>
      <x:c r="S33" s="66" t="b">
        <x:v>1</x:v>
      </x:c>
      <x:c r="T33" s="65" t="str">
        <x:v>PASS</x:v>
      </x:c>
      <x:c r="U33" s="65" t="str">
        <x:v>All deterministic checks passed.</x:v>
      </x:c>
    </x:row>
    <x:row r="34" ht="90" customHeight="1">
      <x:c r="A34" s="65" t="str">
        <x:v>GR10</x:v>
      </x:c>
      <x:c r="B34" s="65" t="str">
        <x:v>Growth_Rate</x:v>
      </x:c>
      <x:c r="C34" s="65" t="str">
        <x:v>Hard</x:v>
      </x:c>
      <x:c r="D34" s="65" t="str">
        <x:v>聯電114年度基本每股盈餘相較113年度的成長率為何？</x:v>
      </x:c>
      <x:c r="E34" s="65" t="str">
        <x:v>What was the growth rate of UMC's basic earnings per share from 2024 to 2025?</x:v>
      </x:c>
      <x:c r="F34" s="65" t="str">
        <x:v>## 簡明綜合損益表
| 項目 | 113年 | 114年 |
| :--- | ---: | ---: |
| 基本每股盈餘（元） | 3.8 | 3.34 |
來源單位：元</x:v>
      </x:c>
      <x:c r="G34" s="65" t="str">
        <x:v>def solution():
    # Grounding（來源：簡明財報）
    basic_eps_2024 = 3.8
    basic_eps_2025 = 3.34
    # Reasoning：成長率 = (新期 - 舊期) / 舊期
    growth_rate = (basic_eps_2025 - basic_eps_2024) / basic_eps_2024
    return round(growth_rate * 100, 2)</x:v>
      </x:c>
      <x:c r="H34" s="67" t="n">
        <x:v>-12.11</x:v>
      </x:c>
      <x:c r="I34" s="65" t="str">
        <x:v>-12.11%</x:v>
      </x:c>
      <x:c r="J34" s="65" t="str">
        <x:v>%</x:v>
      </x:c>
      <x:c r="K34" s="65" t="str">
        <x:v>UMC_2024_basic_eps; UMC_2025_basic_eps</x:v>
      </x:c>
      <x:c r="L34" s="67" t="n">
        <x:v>-12.11</x:v>
      </x:c>
      <x:c r="M34" s="66" t="b">
        <x:v>1</x:v>
      </x:c>
      <x:c r="N34" s="66" t="b">
        <x:v>1</x:v>
      </x:c>
      <x:c r="O34" s="66" t="b">
        <x:v>1</x:v>
      </x:c>
      <x:c r="P34" s="66" t="b">
        <x:v>1</x:v>
      </x:c>
      <x:c r="Q34" s="66" t="b">
        <x:v>1</x:v>
      </x:c>
      <x:c r="R34" s="66" t="b">
        <x:v>1</x:v>
      </x:c>
      <x:c r="S34" s="66" t="b">
        <x:v>1</x:v>
      </x:c>
      <x:c r="T34" s="65" t="str">
        <x:v>PASS</x:v>
      </x:c>
      <x:c r="U34" s="65" t="str">
        <x:v>All deterministic checks passed.</x:v>
      </x:c>
    </x:row>
    <x:row r="35" ht="90" customHeight="1">
      <x:c r="A35" s="65" t="str">
        <x:v>RT01</x:v>
      </x:c>
      <x:c r="B35" s="65" t="str">
        <x:v>Ratio</x:v>
      </x:c>
      <x:c r="C35" s="65" t="str">
        <x:v>Easy</x:v>
      </x:c>
      <x:c r="D35" s="65" t="str">
        <x:v>聯電114年流動資產占資產總計的比例為何？</x:v>
      </x:c>
      <x:c r="E35" s="65" t="str">
        <x:v>What percentage of UMC's total assets were current assets in 2025?</x:v>
      </x:c>
      <x:c r="F35" s="65" t="str">
        <x:v>## 簡明資產負債表
| 項目 | 114年 |
| :--- | ---: |
| 流動資產 | 204,783,258 |
| 資產總計 | 578,996,009 |
來源單位：新臺幣仟元</x:v>
      </x:c>
      <x:c r="G35" s="65" t="str">
        <x:v>def solution():
    # Grounding（來源：簡明財報）
    current_assets_2025 = 204783258
    total_assets_2025 = 578996009
    # Reasoning：比例 = 分子 / 分母
    ratio = current_assets_2025 / total_assets_2025
    return round(ratio * 100, 2)</x:v>
      </x:c>
      <x:c r="H35" s="67" t="n">
        <x:v>35.37</x:v>
      </x:c>
      <x:c r="I35" s="65" t="str">
        <x:v>35.37%</x:v>
      </x:c>
      <x:c r="J35" s="65" t="str">
        <x:v>%</x:v>
      </x:c>
      <x:c r="K35" s="65" t="str">
        <x:v>UMC_2025_current_assets; UMC_2025_total_assets</x:v>
      </x:c>
      <x:c r="L35" s="67" t="n">
        <x:v>35.37</x:v>
      </x:c>
      <x:c r="M35" s="66" t="b">
        <x:v>1</x:v>
      </x:c>
      <x:c r="N35" s="66" t="b">
        <x:v>1</x:v>
      </x:c>
      <x:c r="O35" s="66" t="b">
        <x:v>1</x:v>
      </x:c>
      <x:c r="P35" s="66" t="b">
        <x:v>1</x:v>
      </x:c>
      <x:c r="Q35" s="66" t="b">
        <x:v>1</x:v>
      </x:c>
      <x:c r="R35" s="66" t="b">
        <x:v>1</x:v>
      </x:c>
      <x:c r="S35" s="66" t="b">
        <x:v>1</x:v>
      </x:c>
      <x:c r="T35" s="65" t="str">
        <x:v>PASS</x:v>
      </x:c>
      <x:c r="U35" s="65" t="str">
        <x:v>All deterministic checks passed.</x:v>
      </x:c>
    </x:row>
    <x:row r="36" ht="90" customHeight="1">
      <x:c r="A36" s="65" t="str">
        <x:v>RT02</x:v>
      </x:c>
      <x:c r="B36" s="65" t="str">
        <x:v>Ratio</x:v>
      </x:c>
      <x:c r="C36" s="65" t="str">
        <x:v>Easy</x:v>
      </x:c>
      <x:c r="D36" s="65" t="str">
        <x:v>聯電114年流動負債占負債總計的比例為何？</x:v>
      </x:c>
      <x:c r="E36" s="65" t="str">
        <x:v>What percentage of UMC's total liabilities were current liabilities in 2025?</x:v>
      </x:c>
      <x:c r="F36" s="65" t="str">
        <x:v>## 簡明資產負債表
| 項目 | 114年 |
| :--- | ---: |
| 流動負債 | 87,598,137 |
| 負債總計 | 199,140,569 |
來源單位：新臺幣仟元</x:v>
      </x:c>
      <x:c r="G36" s="65" t="str">
        <x:v>def solution():
    # Grounding（來源：簡明財報）
    current_liabilities_2025 = 87598137
    total_liabilities_2025 = 199140569
    # Reasoning：比例 = 分子 / 分母
    ratio = current_liabilities_2025 / total_liabilities_2025
    return round(ratio * 100, 2)</x:v>
      </x:c>
      <x:c r="H36" s="67" t="n">
        <x:v>43.99</x:v>
      </x:c>
      <x:c r="I36" s="65" t="str">
        <x:v>43.99%</x:v>
      </x:c>
      <x:c r="J36" s="65" t="str">
        <x:v>%</x:v>
      </x:c>
      <x:c r="K36" s="65" t="str">
        <x:v>UMC_2025_current_liabilities; UMC_2025_total_liabilities</x:v>
      </x:c>
      <x:c r="L36" s="67" t="n">
        <x:v>43.99</x:v>
      </x:c>
      <x:c r="M36" s="66" t="b">
        <x:v>1</x:v>
      </x:c>
      <x:c r="N36" s="66" t="b">
        <x:v>1</x:v>
      </x:c>
      <x:c r="O36" s="66" t="b">
        <x:v>1</x:v>
      </x:c>
      <x:c r="P36" s="66" t="b">
        <x:v>1</x:v>
      </x:c>
      <x:c r="Q36" s="66" t="b">
        <x:v>1</x:v>
      </x:c>
      <x:c r="R36" s="66" t="b">
        <x:v>1</x:v>
      </x:c>
      <x:c r="S36" s="66" t="b">
        <x:v>1</x:v>
      </x:c>
      <x:c r="T36" s="65" t="str">
        <x:v>PASS</x:v>
      </x:c>
      <x:c r="U36" s="65" t="str">
        <x:v>All deterministic checks passed.</x:v>
      </x:c>
    </x:row>
    <x:row r="37" ht="90" customHeight="1">
      <x:c r="A37" s="65" t="str">
        <x:v>RT03</x:v>
      </x:c>
      <x:c r="B37" s="65" t="str">
        <x:v>Ratio</x:v>
      </x:c>
      <x:c r="C37" s="65" t="str">
        <x:v>Easy</x:v>
      </x:c>
      <x:c r="D37" s="65" t="str">
        <x:v>聯電114年度營業毛利占營業收入的比例為何？</x:v>
      </x:c>
      <x:c r="E37" s="65" t="str">
        <x:v>What was UMC's gross profit margin in 2025?</x:v>
      </x:c>
      <x:c r="F37" s="65" t="str">
        <x:v>## 簡明綜合損益表
| 項目 | 114年 |
| :--- | ---: |
| 營業毛利（毛損） | 68,906,499 |
| 營業收入 | 237,553,199 |
來源單位：新臺幣仟元</x:v>
      </x:c>
      <x:c r="G37" s="65" t="str">
        <x:v>def solution():
    # Grounding（來源：簡明財報）
    gross_profit_2025 = 68906499
    operating_revenue_2025 = 237553199
    # Reasoning：比例 = 分子 / 分母
    ratio = gross_profit_2025 / operating_revenue_2025
    return round(ratio * 100, 2)</x:v>
      </x:c>
      <x:c r="H37" s="67" t="n">
        <x:v>29.01</x:v>
      </x:c>
      <x:c r="I37" s="65" t="str">
        <x:v>29.01%</x:v>
      </x:c>
      <x:c r="J37" s="65" t="str">
        <x:v>%</x:v>
      </x:c>
      <x:c r="K37" s="65" t="str">
        <x:v>UMC_2025_gross_profit; UMC_2025_operating_revenue</x:v>
      </x:c>
      <x:c r="L37" s="67" t="n">
        <x:v>29.01</x:v>
      </x:c>
      <x:c r="M37" s="66" t="b">
        <x:v>1</x:v>
      </x:c>
      <x:c r="N37" s="66" t="b">
        <x:v>1</x:v>
      </x:c>
      <x:c r="O37" s="66" t="b">
        <x:v>1</x:v>
      </x:c>
      <x:c r="P37" s="66" t="b">
        <x:v>1</x:v>
      </x:c>
      <x:c r="Q37" s="66" t="b">
        <x:v>1</x:v>
      </x:c>
      <x:c r="R37" s="66" t="b">
        <x:v>1</x:v>
      </x:c>
      <x:c r="S37" s="66" t="b">
        <x:v>1</x:v>
      </x:c>
      <x:c r="T37" s="65" t="str">
        <x:v>PASS</x:v>
      </x:c>
      <x:c r="U37" s="65" t="str">
        <x:v>All deterministic checks passed.</x:v>
      </x:c>
    </x:row>
    <x:row r="38" ht="90" customHeight="1">
      <x:c r="A38" s="65" t="str">
        <x:v>RT04</x:v>
      </x:c>
      <x:c r="B38" s="65" t="str">
        <x:v>Ratio</x:v>
      </x:c>
      <x:c r="C38" s="65" t="str">
        <x:v>Medium</x:v>
      </x:c>
      <x:c r="D38" s="65" t="str">
        <x:v>聯電113年度營業利益占營業收入的比例為何？</x:v>
      </x:c>
      <x:c r="E38" s="65" t="str">
        <x:v>What was UMC's operating margin in 2024?</x:v>
      </x:c>
      <x:c r="F38" s="65" t="str">
        <x:v>## 簡明綜合損益表
| 項目 | 113年 |
| :--- | ---: |
| 營業利益（損失） | 51,612,570 |
| 營業收入 | 232,302,584 |
來源單位：新臺幣仟元</x:v>
      </x:c>
      <x:c r="G38" s="65" t="str">
        <x:v>def solution():
    # Grounding（來源：簡明財報）
    operating_income_2024 = 51612570
    operating_revenue_2024 = 232302584
    # Reasoning：比例 = 分子 / 分母
    ratio = operating_income_2024 / operating_revenue_2024
    return round(ratio * 100, 2)</x:v>
      </x:c>
      <x:c r="H38" s="67" t="n">
        <x:v>22.22</x:v>
      </x:c>
      <x:c r="I38" s="65" t="str">
        <x:v>22.22%</x:v>
      </x:c>
      <x:c r="J38" s="65" t="str">
        <x:v>%</x:v>
      </x:c>
      <x:c r="K38" s="65" t="str">
        <x:v>UMC_2024_operating_income; UMC_2024_operating_revenue</x:v>
      </x:c>
      <x:c r="L38" s="67" t="n">
        <x:v>22.22</x:v>
      </x:c>
      <x:c r="M38" s="66" t="b">
        <x:v>1</x:v>
      </x:c>
      <x:c r="N38" s="66" t="b">
        <x:v>1</x:v>
      </x:c>
      <x:c r="O38" s="66" t="b">
        <x:v>1</x:v>
      </x:c>
      <x:c r="P38" s="66" t="b">
        <x:v>1</x:v>
      </x:c>
      <x:c r="Q38" s="66" t="b">
        <x:v>1</x:v>
      </x:c>
      <x:c r="R38" s="66" t="b">
        <x:v>1</x:v>
      </x:c>
      <x:c r="S38" s="66" t="b">
        <x:v>1</x:v>
      </x:c>
      <x:c r="T38" s="65" t="str">
        <x:v>PASS</x:v>
      </x:c>
      <x:c r="U38" s="65" t="str">
        <x:v>All deterministic checks passed.</x:v>
      </x:c>
    </x:row>
    <x:row r="39" ht="90" customHeight="1">
      <x:c r="A39" s="65" t="str">
        <x:v>RT05</x:v>
      </x:c>
      <x:c r="B39" s="65" t="str">
        <x:v>Ratio</x:v>
      </x:c>
      <x:c r="C39" s="65" t="str">
        <x:v>Medium</x:v>
      </x:c>
      <x:c r="D39" s="65" t="str">
        <x:v>聯電112年度本期淨利占營業收入的比例為何？</x:v>
      </x:c>
      <x:c r="E39" s="65" t="str">
        <x:v>What was UMC's net profit margin in 2023?</x:v>
      </x:c>
      <x:c r="F39" s="65" t="str">
        <x:v>## 簡明綜合損益表
| 項目 | 112年 |
| :--- | ---: |
| 本期淨利（淨損） | 61,439,817 |
| 營業收入 | 222,533,000 |
來源單位：新臺幣仟元</x:v>
      </x:c>
      <x:c r="G39" s="65" t="str">
        <x:v>def solution():
    # Grounding（來源：簡明財報）
    net_profit_2023 = 61439817
    operating_revenue_2023 = 222533000
    # Reasoning：比例 = 分子 / 分母
    ratio = net_profit_2023 / operating_revenue_2023
    return round(ratio * 100, 2)</x:v>
      </x:c>
      <x:c r="H39" s="67" t="n">
        <x:v>27.61</x:v>
      </x:c>
      <x:c r="I39" s="65" t="str">
        <x:v>27.61%</x:v>
      </x:c>
      <x:c r="J39" s="65" t="str">
        <x:v>%</x:v>
      </x:c>
      <x:c r="K39" s="65" t="str">
        <x:v>UMC_2023_net_profit; UMC_2023_operating_revenue</x:v>
      </x:c>
      <x:c r="L39" s="67" t="n">
        <x:v>27.61</x:v>
      </x:c>
      <x:c r="M39" s="66" t="b">
        <x:v>1</x:v>
      </x:c>
      <x:c r="N39" s="66" t="b">
        <x:v>1</x:v>
      </x:c>
      <x:c r="O39" s="66" t="b">
        <x:v>1</x:v>
      </x:c>
      <x:c r="P39" s="66" t="b">
        <x:v>1</x:v>
      </x:c>
      <x:c r="Q39" s="66" t="b">
        <x:v>1</x:v>
      </x:c>
      <x:c r="R39" s="66" t="b">
        <x:v>1</x:v>
      </x:c>
      <x:c r="S39" s="66" t="b">
        <x:v>1</x:v>
      </x:c>
      <x:c r="T39" s="65" t="str">
        <x:v>PASS</x:v>
      </x:c>
      <x:c r="U39" s="65" t="str">
        <x:v>All deterministic checks passed.</x:v>
      </x:c>
    </x:row>
    <x:row r="40" ht="90" customHeight="1">
      <x:c r="A40" s="65" t="str">
        <x:v>RT06</x:v>
      </x:c>
      <x:c r="B40" s="65" t="str">
        <x:v>Ratio</x:v>
      </x:c>
      <x:c r="C40" s="65" t="str">
        <x:v>Medium</x:v>
      </x:c>
      <x:c r="D40" s="65" t="str">
        <x:v>聯電114年負債總計占資產總計的比例為何？</x:v>
      </x:c>
      <x:c r="E40" s="65" t="str">
        <x:v>What percentage of UMC's total assets was represented by total liabilities in 2025?</x:v>
      </x:c>
      <x:c r="F40" s="65" t="str">
        <x:v>## 簡明資產負債表
| 項目 | 114年 |
| :--- | ---: |
| 負債總計 | 199,140,569 |
| 資產總計 | 578,996,009 |
來源單位：新臺幣仟元</x:v>
      </x:c>
      <x:c r="G40" s="65" t="str">
        <x:v>def solution():
    # Grounding（來源：簡明財報）
    total_liabilities_2025 = 199140569
    total_assets_2025 = 578996009
    # Reasoning：比例 = 分子 / 分母
    ratio = total_liabilities_2025 / total_assets_2025
    return round(ratio * 100, 2)</x:v>
      </x:c>
      <x:c r="H40" s="67" t="n">
        <x:v>34.39</x:v>
      </x:c>
      <x:c r="I40" s="65" t="str">
        <x:v>34.39%</x:v>
      </x:c>
      <x:c r="J40" s="65" t="str">
        <x:v>%</x:v>
      </x:c>
      <x:c r="K40" s="65" t="str">
        <x:v>UMC_2025_total_liabilities; UMC_2025_total_assets</x:v>
      </x:c>
      <x:c r="L40" s="67" t="n">
        <x:v>34.39</x:v>
      </x:c>
      <x:c r="M40" s="66" t="b">
        <x:v>1</x:v>
      </x:c>
      <x:c r="N40" s="66" t="b">
        <x:v>1</x:v>
      </x:c>
      <x:c r="O40" s="66" t="b">
        <x:v>1</x:v>
      </x:c>
      <x:c r="P40" s="66" t="b">
        <x:v>1</x:v>
      </x:c>
      <x:c r="Q40" s="66" t="b">
        <x:v>1</x:v>
      </x:c>
      <x:c r="R40" s="66" t="b">
        <x:v>1</x:v>
      </x:c>
      <x:c r="S40" s="66" t="b">
        <x:v>1</x:v>
      </x:c>
      <x:c r="T40" s="65" t="str">
        <x:v>PASS</x:v>
      </x:c>
      <x:c r="U40" s="65" t="str">
        <x:v>All deterministic checks passed.</x:v>
      </x:c>
    </x:row>
    <x:row r="41" ht="90" customHeight="1">
      <x:c r="A41" s="65" t="str">
        <x:v>RT07</x:v>
      </x:c>
      <x:c r="B41" s="65" t="str">
        <x:v>Ratio</x:v>
      </x:c>
      <x:c r="C41" s="65" t="str">
        <x:v>Medium</x:v>
      </x:c>
      <x:c r="D41" s="65" t="str">
        <x:v>聯電113年權益總計占資產總計的比例為何？</x:v>
      </x:c>
      <x:c r="E41" s="65" t="str">
        <x:v>What percentage of UMC's total assets was total equity in 2024?</x:v>
      </x:c>
      <x:c r="F41" s="65" t="str">
        <x:v>## 簡明資產負債表
| 項目 | 113年 |
| :--- | ---: |
| 權益總計 | 378,185,004 |
| 資產總計 | 570,200,677 |
來源單位：新臺幣仟元</x:v>
      </x:c>
      <x:c r="G41" s="65" t="str">
        <x:v>def solution():
    # Grounding（來源：簡明財報）
    total_equity_2024 = 378185004
    total_assets_2024 = 570200677
    # Reasoning：比例 = 分子 / 分母
    ratio = total_equity_2024 / total_assets_2024
    return round(ratio * 100, 2)</x:v>
      </x:c>
      <x:c r="H41" s="67" t="n">
        <x:v>66.32</x:v>
      </x:c>
      <x:c r="I41" s="65" t="str">
        <x:v>66.32%</x:v>
      </x:c>
      <x:c r="J41" s="65" t="str">
        <x:v>%</x:v>
      </x:c>
      <x:c r="K41" s="65" t="str">
        <x:v>UMC_2024_total_equity; UMC_2024_total_assets</x:v>
      </x:c>
      <x:c r="L41" s="67" t="n">
        <x:v>66.32</x:v>
      </x:c>
      <x:c r="M41" s="66" t="b">
        <x:v>1</x:v>
      </x:c>
      <x:c r="N41" s="66" t="b">
        <x:v>1</x:v>
      </x:c>
      <x:c r="O41" s="66" t="b">
        <x:v>1</x:v>
      </x:c>
      <x:c r="P41" s="66" t="b">
        <x:v>1</x:v>
      </x:c>
      <x:c r="Q41" s="66" t="b">
        <x:v>1</x:v>
      </x:c>
      <x:c r="R41" s="66" t="b">
        <x:v>1</x:v>
      </x:c>
      <x:c r="S41" s="66" t="b">
        <x:v>1</x:v>
      </x:c>
      <x:c r="T41" s="65" t="str">
        <x:v>PASS</x:v>
      </x:c>
      <x:c r="U41" s="65" t="str">
        <x:v>All deterministic checks passed.</x:v>
      </x:c>
    </x:row>
    <x:row r="42" ht="90" customHeight="1">
      <x:c r="A42" s="65" t="str">
        <x:v>RT08</x:v>
      </x:c>
      <x:c r="B42" s="65" t="str">
        <x:v>Ratio</x:v>
      </x:c>
      <x:c r="C42" s="65" t="str">
        <x:v>Hard</x:v>
      </x:c>
      <x:c r="D42" s="65" t="str">
        <x:v>聯電114年度營業費用占營業收入的比例為何？</x:v>
      </x:c>
      <x:c r="E42" s="65" t="str">
        <x:v>What percentage of UMC's operating revenue was represented by operating expenses in 2025?</x:v>
      </x:c>
      <x:c r="F42" s="65" t="str">
        <x:v>## 簡明綜合損益表
| 項目 | 114年 |
| :--- | ---: |
| 營業費用 | 26,947,690 |
| 營業收入 | 237,553,199 |
來源單位：新臺幣仟元</x:v>
      </x:c>
      <x:c r="G42" s="65" t="str">
        <x:v>def solution():
    # Grounding（來源：簡明財報）
    operating_expenses_2025 = 26947690
    operating_revenue_2025 = 237553199
    # Reasoning：比例 = 分子 / 分母
    ratio = operating_expenses_2025 / operating_revenue_2025
    return round(ratio * 100, 2)</x:v>
      </x:c>
      <x:c r="H42" s="67" t="n">
        <x:v>11.34</x:v>
      </x:c>
      <x:c r="I42" s="65" t="str">
        <x:v>11.34%</x:v>
      </x:c>
      <x:c r="J42" s="65" t="str">
        <x:v>%</x:v>
      </x:c>
      <x:c r="K42" s="65" t="str">
        <x:v>UMC_2025_operating_expenses; UMC_2025_operating_revenue</x:v>
      </x:c>
      <x:c r="L42" s="67" t="n">
        <x:v>11.34</x:v>
      </x:c>
      <x:c r="M42" s="66" t="b">
        <x:v>1</x:v>
      </x:c>
      <x:c r="N42" s="66" t="b">
        <x:v>1</x:v>
      </x:c>
      <x:c r="O42" s="66" t="b">
        <x:v>1</x:v>
      </x:c>
      <x:c r="P42" s="66" t="b">
        <x:v>1</x:v>
      </x:c>
      <x:c r="Q42" s="66" t="b">
        <x:v>1</x:v>
      </x:c>
      <x:c r="R42" s="66" t="b">
        <x:v>1</x:v>
      </x:c>
      <x:c r="S42" s="66" t="b">
        <x:v>1</x:v>
      </x:c>
      <x:c r="T42" s="65" t="str">
        <x:v>PASS</x:v>
      </x:c>
      <x:c r="U42" s="65" t="str">
        <x:v>All deterministic checks passed.</x:v>
      </x:c>
    </x:row>
    <x:row r="43" ht="90" customHeight="1">
      <x:c r="A43" s="65" t="str">
        <x:v>RT09</x:v>
      </x:c>
      <x:c r="B43" s="65" t="str">
        <x:v>Ratio</x:v>
      </x:c>
      <x:c r="C43" s="65" t="str">
        <x:v>Hard</x:v>
      </x:c>
      <x:c r="D43" s="65" t="str">
        <x:v>聯電112年度所得稅費用占稅前淨利的比例為何？</x:v>
      </x:c>
      <x:c r="E43" s="65" t="str">
        <x:v>What percentage of UMC's profit before tax was income tax expense in 2023?</x:v>
      </x:c>
      <x:c r="F43" s="65" t="str">
        <x:v>## 簡明綜合損益表
| 項目 | 112年 |
| :--- | ---: |
| 所得稅費用（利益） | 9,472,411 |
| 稅前淨利（淨損） | 70,912,228 |
來源單位：新臺幣仟元</x:v>
      </x:c>
      <x:c r="G43" s="65" t="str">
        <x:v>def solution():
    # Grounding（來源：簡明財報）
    income_tax_expense_2023 = 9472411
    profit_before_tax_2023 = 70912228
    # Reasoning：比例 = 分子 / 分母
    ratio = income_tax_expense_2023 / profit_before_tax_2023
    return round(ratio * 100, 2)</x:v>
      </x:c>
      <x:c r="H43" s="67" t="n">
        <x:v>13.36</x:v>
      </x:c>
      <x:c r="I43" s="65" t="str">
        <x:v>13.36%</x:v>
      </x:c>
      <x:c r="J43" s="65" t="str">
        <x:v>%</x:v>
      </x:c>
      <x:c r="K43" s="65" t="str">
        <x:v>UMC_2023_income_tax_expense; UMC_2023_profit_before_tax</x:v>
      </x:c>
      <x:c r="L43" s="67" t="n">
        <x:v>13.36</x:v>
      </x:c>
      <x:c r="M43" s="66" t="b">
        <x:v>1</x:v>
      </x:c>
      <x:c r="N43" s="66" t="b">
        <x:v>1</x:v>
      </x:c>
      <x:c r="O43" s="66" t="b">
        <x:v>1</x:v>
      </x:c>
      <x:c r="P43" s="66" t="b">
        <x:v>1</x:v>
      </x:c>
      <x:c r="Q43" s="66" t="b">
        <x:v>1</x:v>
      </x:c>
      <x:c r="R43" s="66" t="b">
        <x:v>1</x:v>
      </x:c>
      <x:c r="S43" s="66" t="b">
        <x:v>1</x:v>
      </x:c>
      <x:c r="T43" s="65" t="str">
        <x:v>PASS</x:v>
      </x:c>
      <x:c r="U43" s="65" t="str">
        <x:v>All deterministic checks passed.</x:v>
      </x:c>
    </x:row>
    <x:row r="44" ht="90" customHeight="1">
      <x:c r="A44" s="65" t="str">
        <x:v>RT10</x:v>
      </x:c>
      <x:c r="B44" s="65" t="str">
        <x:v>Ratio</x:v>
      </x:c>
      <x:c r="C44" s="65" t="str">
        <x:v>Hard</x:v>
      </x:c>
      <x:c r="D44" s="65" t="str">
        <x:v>聯電114年非控制權益占權益總計的比例為何？</x:v>
      </x:c>
      <x:c r="E44" s="65" t="str">
        <x:v>What percentage of UMC's total equity was attributable to non-controlling interests in 2025?</x:v>
      </x:c>
      <x:c r="F44" s="65" t="str">
        <x:v>## 簡明資產負債表
| 項目 | 114年 |
| :--- | ---: |
| 非控制權益 | 87,175 |
| 權益總計 | 379,855,440 |
來源單位：新臺幣仟元</x:v>
      </x:c>
      <x:c r="G44" s="65" t="str">
        <x:v>def solution():
    # Grounding（來源：簡明財報）
    non_controlling_interests_2025 = 87175
    total_equity_2025 = 379855440
    # Reasoning：比例 = 分子 / 分母
    ratio = non_controlling_interests_2025 / total_equity_2025
    return round(ratio * 100, 2)</x:v>
      </x:c>
      <x:c r="H44" s="67" t="n">
        <x:v>0.02</x:v>
      </x:c>
      <x:c r="I44" s="65" t="str">
        <x:v>0.02%</x:v>
      </x:c>
      <x:c r="J44" s="65" t="str">
        <x:v>%</x:v>
      </x:c>
      <x:c r="K44" s="65" t="str">
        <x:v>UMC_2025_nci_equity; UMC_2025_total_equity</x:v>
      </x:c>
      <x:c r="L44" s="67" t="n">
        <x:v>0.02</x:v>
      </x:c>
      <x:c r="M44" s="66" t="b">
        <x:v>1</x:v>
      </x:c>
      <x:c r="N44" s="66" t="b">
        <x:v>1</x:v>
      </x:c>
      <x:c r="O44" s="66" t="b">
        <x:v>1</x:v>
      </x:c>
      <x:c r="P44" s="66" t="b">
        <x:v>1</x:v>
      </x:c>
      <x:c r="Q44" s="66" t="b">
        <x:v>1</x:v>
      </x:c>
      <x:c r="R44" s="66" t="b">
        <x:v>1</x:v>
      </x:c>
      <x:c r="S44" s="66" t="b">
        <x:v>1</x:v>
      </x:c>
      <x:c r="T44" s="65" t="str">
        <x:v>PASS</x:v>
      </x:c>
      <x:c r="U44" s="65" t="str">
        <x:v>All deterministic checks passed.</x:v>
      </x:c>
    </x:row>
    <x:row r="45" ht="90" customHeight="1">
      <x:c r="A45" s="65" t="str">
        <x:v>LG01</x:v>
      </x:c>
      <x:c r="B45" s="65" t="str">
        <x:v>Logic</x:v>
      </x:c>
      <x:c r="C45" s="65" t="str">
        <x:v>Easy</x:v>
      </x:c>
      <x:c r="D45" s="65" t="str">
        <x:v>聯電114年度的營業收入是否高於113年度？</x:v>
      </x:c>
      <x:c r="E45" s="65" t="str">
        <x:v>Was UMC's operating revenue in 2025 higher than in 2024?</x:v>
      </x:c>
      <x:c r="F45" s="65" t="str">
        <x:v>## 簡明綜合損益表
| 項目 | 113年 | 114年 |
| :--- | ---: | ---: |
| 營業收入 | 232,302,584 | 237,553,199 |
來源單位：新臺幣仟元</x:v>
      </x:c>
      <x:c r="G45" s="65" t="str">
        <x:v>def solution():
    operating_revenue_2024 = 232302584
    operating_revenue_2025 = 237553199
    return 'Yes' if operating_revenue_2025 &gt; operating_revenue_2024 else 'No'</x:v>
      </x:c>
      <x:c r="H45" s="67" t="str">
        <x:v>Yes</x:v>
      </x:c>
      <x:c r="I45" s="65" t="str">
        <x:v>是</x:v>
      </x:c>
      <x:c r="J45" s="65" t="str">
        <x:v>Yes/No</x:v>
      </x:c>
      <x:c r="K45" s="65" t="str">
        <x:v>UMC_2024_operating_revenue; UMC_2025_operating_revenue</x:v>
      </x:c>
      <x:c r="L45" s="67" t="str">
        <x:v>Yes</x:v>
      </x:c>
      <x:c r="M45" s="66" t="b">
        <x:v>1</x:v>
      </x:c>
      <x:c r="N45" s="66" t="b">
        <x:v>1</x:v>
      </x:c>
      <x:c r="O45" s="66" t="b">
        <x:v>1</x:v>
      </x:c>
      <x:c r="P45" s="66" t="b">
        <x:v>1</x:v>
      </x:c>
      <x:c r="Q45" s="66" t="b">
        <x:v>1</x:v>
      </x:c>
      <x:c r="R45" s="66" t="b">
        <x:v>1</x:v>
      </x:c>
      <x:c r="S45" s="66" t="b">
        <x:v>1</x:v>
      </x:c>
      <x:c r="T45" s="65" t="str">
        <x:v>PASS</x:v>
      </x:c>
      <x:c r="U45" s="65" t="str">
        <x:v>All deterministic checks passed.</x:v>
      </x:c>
    </x:row>
    <x:row r="46" ht="90" customHeight="1">
      <x:c r="A46" s="65" t="str">
        <x:v>LG02</x:v>
      </x:c>
      <x:c r="B46" s="65" t="str">
        <x:v>Logic</x:v>
      </x:c>
      <x:c r="C46" s="65" t="str">
        <x:v>Easy</x:v>
      </x:c>
      <x:c r="D46" s="65" t="str">
        <x:v>聯電113年的資產總計是否高於112年？</x:v>
      </x:c>
      <x:c r="E46" s="65" t="str">
        <x:v>Were UMC's total assets in 2024 higher than in 2023?</x:v>
      </x:c>
      <x:c r="F46" s="65" t="str">
        <x:v>## 簡明資產負債表
| 項目 | 112年 | 113年 |
| :--- | ---: | ---: |
| 資產總計 | 559,186,927 | 570,200,677 |
來源單位：新臺幣仟元</x:v>
      </x:c>
      <x:c r="G46" s="65" t="str">
        <x:v>def solution():
    total_assets_2023 = 559186927
    total_assets_2024 = 570200677
    return 'Yes' if total_assets_2024 &gt; total_assets_2023 else 'No'</x:v>
      </x:c>
      <x:c r="H46" s="67" t="str">
        <x:v>Yes</x:v>
      </x:c>
      <x:c r="I46" s="65" t="str">
        <x:v>是</x:v>
      </x:c>
      <x:c r="J46" s="65" t="str">
        <x:v>Yes/No</x:v>
      </x:c>
      <x:c r="K46" s="65" t="str">
        <x:v>UMC_2023_total_assets; UMC_2024_total_assets</x:v>
      </x:c>
      <x:c r="L46" s="67" t="str">
        <x:v>Yes</x:v>
      </x:c>
      <x:c r="M46" s="66" t="b">
        <x:v>1</x:v>
      </x:c>
      <x:c r="N46" s="66" t="b">
        <x:v>1</x:v>
      </x:c>
      <x:c r="O46" s="66" t="b">
        <x:v>1</x:v>
      </x:c>
      <x:c r="P46" s="66" t="b">
        <x:v>1</x:v>
      </x:c>
      <x:c r="Q46" s="66" t="b">
        <x:v>1</x:v>
      </x:c>
      <x:c r="R46" s="66" t="b">
        <x:v>1</x:v>
      </x:c>
      <x:c r="S46" s="66" t="b">
        <x:v>1</x:v>
      </x:c>
      <x:c r="T46" s="65" t="str">
        <x:v>PASS</x:v>
      </x:c>
      <x:c r="U46" s="65" t="str">
        <x:v>All deterministic checks passed.</x:v>
      </x:c>
    </x:row>
    <x:row r="47" ht="90" customHeight="1">
      <x:c r="A47" s="65" t="str">
        <x:v>LG03</x:v>
      </x:c>
      <x:c r="B47" s="65" t="str">
        <x:v>Logic</x:v>
      </x:c>
      <x:c r="C47" s="65" t="str">
        <x:v>Easy</x:v>
      </x:c>
      <x:c r="D47" s="65" t="str">
        <x:v>聯電112至114年度的本期淨利是否逐年下降？</x:v>
      </x:c>
      <x:c r="E47" s="65" t="str">
        <x:v>Did UMC's net profit decrease every year from 2023 to 2025?</x:v>
      </x:c>
      <x:c r="F47" s="65" t="str">
        <x:v>## 簡明綜合損益表
| 項目 | 112年 | 113年 | 114年 |
| :--- | ---: | ---: | ---: |
| 本期淨利（淨損） | 61,439,817 | 47,106,256 | 41,534,748 |
來源單位：新臺幣仟元</x:v>
      </x:c>
      <x:c r="G47" s="65" t="str">
        <x:v>def solution():
    net_profit_by_year = {
        2023: 61439817,
        2024: 47106256,
        2025: 41534748,
    }
    ordered_values = [net_profit_by_year[year] for year in sorted(net_profit_by_year)]
    is_decreasing = all(earlier &gt; later for earlier, later in zip(ordered_values, ordered_values[1:]))
    return 'Yes' if is_decreasing else 'No'</x:v>
      </x:c>
      <x:c r="H47" s="67" t="str">
        <x:v>Yes</x:v>
      </x:c>
      <x:c r="I47" s="65" t="str">
        <x:v>是</x:v>
      </x:c>
      <x:c r="J47" s="65" t="str">
        <x:v>Yes/No</x:v>
      </x:c>
      <x:c r="K47" s="65" t="str">
        <x:v>UMC_2023_net_profit; UMC_2024_net_profit; UMC_2025_net_profit</x:v>
      </x:c>
      <x:c r="L47" s="67" t="str">
        <x:v>Yes</x:v>
      </x:c>
      <x:c r="M47" s="66" t="b">
        <x:v>1</x:v>
      </x:c>
      <x:c r="N47" s="66" t="b">
        <x:v>1</x:v>
      </x:c>
      <x:c r="O47" s="66" t="b">
        <x:v>1</x:v>
      </x:c>
      <x:c r="P47" s="66" t="b">
        <x:v>1</x:v>
      </x:c>
      <x:c r="Q47" s="66" t="b">
        <x:v>1</x:v>
      </x:c>
      <x:c r="R47" s="66" t="b">
        <x:v>1</x:v>
      </x:c>
      <x:c r="S47" s="66" t="b">
        <x:v>1</x:v>
      </x:c>
      <x:c r="T47" s="65" t="str">
        <x:v>PASS</x:v>
      </x:c>
      <x:c r="U47" s="65" t="str">
        <x:v>All deterministic checks passed.</x:v>
      </x:c>
    </x:row>
    <x:row r="48" ht="90" customHeight="1">
      <x:c r="A48" s="65" t="str">
        <x:v>LG04</x:v>
      </x:c>
      <x:c r="B48" s="65" t="str">
        <x:v>Logic</x:v>
      </x:c>
      <x:c r="C48" s="65" t="str">
        <x:v>Medium</x:v>
      </x:c>
      <x:c r="D48" s="65" t="str">
        <x:v>聯電114年度的其他綜合損益淨額是否為負數？</x:v>
      </x:c>
      <x:c r="E48" s="65" t="str">
        <x:v>Was UMC's net other comprehensive income negative in 2025?</x:v>
      </x:c>
      <x:c r="F48" s="65" t="str">
        <x:v>## 簡明綜合損益表
| 項目 | 114年 |
| :--- | ---: |
| 其他綜合損益（淨額） | -4,859,711 |
來源單位：新臺幣仟元</x:v>
      </x:c>
      <x:c r="G48" s="65" t="str">
        <x:v>def solution():
    net_other_comprehensive_income_2025 = -4859711
    return 'Yes' if net_other_comprehensive_income_2025 &lt; 0 else 'No'</x:v>
      </x:c>
      <x:c r="H48" s="67" t="str">
        <x:v>Yes</x:v>
      </x:c>
      <x:c r="I48" s="65" t="str">
        <x:v>是</x:v>
      </x:c>
      <x:c r="J48" s="65" t="str">
        <x:v>Yes/No</x:v>
      </x:c>
      <x:c r="K48" s="65" t="str">
        <x:v>UMC_2025_other_comprehensive_income</x:v>
      </x:c>
      <x:c r="L48" s="67" t="str">
        <x:v>Yes</x:v>
      </x:c>
      <x:c r="M48" s="66" t="b">
        <x:v>1</x:v>
      </x:c>
      <x:c r="N48" s="66" t="b">
        <x:v>1</x:v>
      </x:c>
      <x:c r="O48" s="66" t="b">
        <x:v>1</x:v>
      </x:c>
      <x:c r="P48" s="66" t="b">
        <x:v>1</x:v>
      </x:c>
      <x:c r="Q48" s="66" t="b">
        <x:v>1</x:v>
      </x:c>
      <x:c r="R48" s="66" t="b">
        <x:v>1</x:v>
      </x:c>
      <x:c r="S48" s="66" t="b">
        <x:v>1</x:v>
      </x:c>
      <x:c r="T48" s="65" t="str">
        <x:v>PASS</x:v>
      </x:c>
      <x:c r="U48" s="65" t="str">
        <x:v>All deterministic checks passed.</x:v>
      </x:c>
    </x:row>
    <x:row r="49" ht="90" customHeight="1">
      <x:c r="A49" s="65" t="str">
        <x:v>LG05</x:v>
      </x:c>
      <x:c r="B49" s="65" t="str">
        <x:v>Logic</x:v>
      </x:c>
      <x:c r="C49" s="65" t="str">
        <x:v>Medium</x:v>
      </x:c>
      <x:c r="D49" s="65" t="str">
        <x:v>聯電114年的負債總計是否低於權益總計？</x:v>
      </x:c>
      <x:c r="E49" s="65" t="str">
        <x:v>Were UMC's total liabilities lower than total equity in 2025?</x:v>
      </x:c>
      <x:c r="F49" s="65" t="str">
        <x:v>## 簡明資產負債表
| 項目 | 114年 |
| :--- | ---: |
| 負債總計 | 199,140,569 |
| 權益總計 | 379,855,440 |
來源單位：新臺幣仟元</x:v>
      </x:c>
      <x:c r="G49" s="65" t="str">
        <x:v>def solution():
    total_liabilities_2025 = 199140569
    total_equity_2025 = 379855440
    return 'Yes' if total_liabilities_2025 &lt; total_equity_2025 else 'No'</x:v>
      </x:c>
      <x:c r="H49" s="67" t="str">
        <x:v>Yes</x:v>
      </x:c>
      <x:c r="I49" s="65" t="str">
        <x:v>是</x:v>
      </x:c>
      <x:c r="J49" s="65" t="str">
        <x:v>Yes/No</x:v>
      </x:c>
      <x:c r="K49" s="65" t="str">
        <x:v>UMC_2025_total_liabilities; UMC_2025_total_equity</x:v>
      </x:c>
      <x:c r="L49" s="67" t="str">
        <x:v>Yes</x:v>
      </x:c>
      <x:c r="M49" s="66" t="b">
        <x:v>1</x:v>
      </x:c>
      <x:c r="N49" s="66" t="b">
        <x:v>1</x:v>
      </x:c>
      <x:c r="O49" s="66" t="b">
        <x:v>1</x:v>
      </x:c>
      <x:c r="P49" s="66" t="b">
        <x:v>1</x:v>
      </x:c>
      <x:c r="Q49" s="66" t="b">
        <x:v>1</x:v>
      </x:c>
      <x:c r="R49" s="66" t="b">
        <x:v>1</x:v>
      </x:c>
      <x:c r="S49" s="66" t="b">
        <x:v>1</x:v>
      </x:c>
      <x:c r="T49" s="65" t="str">
        <x:v>PASS</x:v>
      </x:c>
      <x:c r="U49" s="65" t="str">
        <x:v>All deterministic checks passed.</x:v>
      </x:c>
    </x:row>
    <x:row r="50" ht="90" customHeight="1">
      <x:c r="A50" s="65" t="str">
        <x:v>LG06</x:v>
      </x:c>
      <x:c r="B50" s="65" t="str">
        <x:v>Logic</x:v>
      </x:c>
      <x:c r="C50" s="65" t="str">
        <x:v>Medium</x:v>
      </x:c>
      <x:c r="D50" s="65" t="str">
        <x:v>112至114年中，聯電是否有任何一年的流動資產超過資產總計的40%？</x:v>
      </x:c>
      <x:c r="E50" s="65" t="str">
        <x:v>Was there any year from 2023 to 2025 in which UMC's current assets exceeded 40% of total assets?</x:v>
      </x:c>
      <x:c r="F50" s="65" t="str">
        <x:v>## 簡明資產負債表
| 項目 | 112年 | 113年 | 114年 |
| :--- | ---: | ---: | ---: |
| 流動資產 | 216,797,392 | 189,677,884 | 204,783,258 |
| 資產總計 | 559,186,927 | 570,200,677 | 578,996,009 |
來源單位：新臺幣仟元</x:v>
      </x:c>
      <x:c r="G50" s="65" t="str">
        <x:v>def solution():
    current_assets_by_year = {
        2023: 216797392,
        2024: 189677884,
        2025: 204783258,
    }
    total_assets_by_year = {
        2023: 559186927,
        2024: 570200677,
        2025: 578996009,
    }
    threshold = 0.40
    exceeds = any((current_assets_by_year[year] / total_assets_by_year[year]) &gt; threshold for year in current_assets_by_year)
    return 'Yes' if exceeds else 'No'</x:v>
      </x:c>
      <x:c r="H50" s="67" t="str">
        <x:v>No</x:v>
      </x:c>
      <x:c r="I50" s="65" t="str">
        <x:v>否</x:v>
      </x:c>
      <x:c r="J50" s="65" t="str">
        <x:v>Yes/No</x:v>
      </x:c>
      <x:c r="K50" s="65" t="str">
        <x:v>UMC_2023_current_assets; UMC_2024_current_assets; UMC_2025_current_assets; UMC_2023_total_assets; UMC_2024_total_assets; UMC_2025_total_assets</x:v>
      </x:c>
      <x:c r="L50" s="67" t="str">
        <x:v>No</x:v>
      </x:c>
      <x:c r="M50" s="66" t="b">
        <x:v>1</x:v>
      </x:c>
      <x:c r="N50" s="66" t="b">
        <x:v>1</x:v>
      </x:c>
      <x:c r="O50" s="66" t="b">
        <x:v>1</x:v>
      </x:c>
      <x:c r="P50" s="66" t="b">
        <x:v>1</x:v>
      </x:c>
      <x:c r="Q50" s="66" t="b">
        <x:v>1</x:v>
      </x:c>
      <x:c r="R50" s="66" t="b">
        <x:v>1</x:v>
      </x:c>
      <x:c r="S50" s="66" t="b">
        <x:v>1</x:v>
      </x:c>
      <x:c r="T50" s="65" t="str">
        <x:v>PASS</x:v>
      </x:c>
      <x:c r="U50" s="65" t="str">
        <x:v>All deterministic checks passed.</x:v>
      </x:c>
    </x:row>
    <x:row r="51" ht="90" customHeight="1">
      <x:c r="A51" s="65" t="str">
        <x:v>LG07</x:v>
      </x:c>
      <x:c r="B51" s="65" t="str">
        <x:v>Logic</x:v>
      </x:c>
      <x:c r="C51" s="65" t="str">
        <x:v>Medium</x:v>
      </x:c>
      <x:c r="D51" s="65" t="str">
        <x:v>聯電112至114年度的營業費用是否逐年增加？</x:v>
      </x:c>
      <x:c r="E51" s="65" t="str">
        <x:v>Did UMC's operating expenses increase every year from 2023 to 2025?</x:v>
      </x:c>
      <x:c r="F51" s="65" t="str">
        <x:v>## 簡明綜合損益表
| 項目 | 112年 | 113年 | 114年 |
| :--- | ---: | ---: | ---: |
| 營業費用 | 23,855,503 | 25,365,419 | 26,947,690 |
來源單位：新臺幣仟元</x:v>
      </x:c>
      <x:c r="G51" s="65" t="str">
        <x:v>def solution():
    operating_expenses_by_year = {
        2023: 23855503,
        2024: 25365419,
        2025: 26947690,
    }
    ordered_values = [operating_expenses_by_year[year] for year in sorted(operating_expenses_by_year)]
    is_increasing = all(earlier &lt; later for earlier, later in zip(ordered_values, ordered_values[1:]))
    return 'Yes' if is_increasing else 'No'</x:v>
      </x:c>
      <x:c r="H51" s="67" t="str">
        <x:v>Yes</x:v>
      </x:c>
      <x:c r="I51" s="65" t="str">
        <x:v>是</x:v>
      </x:c>
      <x:c r="J51" s="65" t="str">
        <x:v>Yes/No</x:v>
      </x:c>
      <x:c r="K51" s="65" t="str">
        <x:v>UMC_2023_operating_expenses; UMC_2024_operating_expenses; UMC_2025_operating_expenses</x:v>
      </x:c>
      <x:c r="L51" s="67" t="str">
        <x:v>Yes</x:v>
      </x:c>
      <x:c r="M51" s="66" t="b">
        <x:v>1</x:v>
      </x:c>
      <x:c r="N51" s="66" t="b">
        <x:v>1</x:v>
      </x:c>
      <x:c r="O51" s="66" t="b">
        <x:v>1</x:v>
      </x:c>
      <x:c r="P51" s="66" t="b">
        <x:v>1</x:v>
      </x:c>
      <x:c r="Q51" s="66" t="b">
        <x:v>1</x:v>
      </x:c>
      <x:c r="R51" s="66" t="b">
        <x:v>1</x:v>
      </x:c>
      <x:c r="S51" s="66" t="b">
        <x:v>1</x:v>
      </x:c>
      <x:c r="T51" s="65" t="str">
        <x:v>PASS</x:v>
      </x:c>
      <x:c r="U51" s="65" t="str">
        <x:v>All deterministic checks passed.</x:v>
      </x:c>
    </x:row>
    <x:row r="52" ht="90" customHeight="1">
      <x:c r="A52" s="65" t="str">
        <x:v>LG08</x:v>
      </x:c>
      <x:c r="B52" s="65" t="str">
        <x:v>Logic</x:v>
      </x:c>
      <x:c r="C52" s="65" t="str">
        <x:v>Hard</x:v>
      </x:c>
      <x:c r="D52" s="65" t="str">
        <x:v>聯電112至114年度是否每年都呈現營業收入增加、但營業利益下降？</x:v>
      </x:c>
      <x:c r="E52" s="65" t="str">
        <x:v>From 2023 to 2025, did UMC's operating revenue increase each year while operating income decreased each year?</x:v>
      </x:c>
      <x:c r="F52" s="65" t="str">
        <x:v>## 簡明綜合損益表
| 項目 | 112年 | 113年 | 114年 |
| :--- | ---: | ---: | ---: |
| 營業收入 | 222,533,000 | 232,302,584 | 237,553,199 |
| 營業利益（損失） | 57,890,661 | 51,612,570 | 43,948,688 |
來源單位：新臺幣仟元</x:v>
      </x:c>
      <x:c r="G52" s="65" t="str">
        <x:v>def solution():
    operating_revenue_by_year = {
        2023: 222533000,
        2024: 232302584,
        2025: 237553199,
    }
    operating_income_by_year = {
        2023: 57890661,
        2024: 51612570,
        2025: 43948688,
    }
    revenue_values = [operating_revenue_by_year[year] for year in sorted(operating_revenue_by_year)]
    income_values = [operating_income_by_year[year] for year in sorted(operating_income_by_year)]
    revenue_increasing = all(a &lt; b for a, b in zip(revenue_values, revenue_values[1:]))
    income_decreasing = all(a &gt; b for a, b in zip(income_values, income_values[1:]))
    return 'Yes' if revenue_increasing and income_decreasing else 'No'</x:v>
      </x:c>
      <x:c r="H52" s="67" t="str">
        <x:v>Yes</x:v>
      </x:c>
      <x:c r="I52" s="65" t="str">
        <x:v>是</x:v>
      </x:c>
      <x:c r="J52" s="65" t="str">
        <x:v>Yes/No</x:v>
      </x:c>
      <x:c r="K52" s="65" t="str">
        <x:v>UMC_2023_operating_revenue; UMC_2024_operating_revenue; UMC_2025_operating_revenue; UMC_2023_operating_income; UMC_2024_operating_income; UMC_2025_operating_income</x:v>
      </x:c>
      <x:c r="L52" s="67" t="str">
        <x:v>Yes</x:v>
      </x:c>
      <x:c r="M52" s="66" t="b">
        <x:v>1</x:v>
      </x:c>
      <x:c r="N52" s="66" t="b">
        <x:v>1</x:v>
      </x:c>
      <x:c r="O52" s="66" t="b">
        <x:v>1</x:v>
      </x:c>
      <x:c r="P52" s="66" t="b">
        <x:v>1</x:v>
      </x:c>
      <x:c r="Q52" s="66" t="b">
        <x:v>1</x:v>
      </x:c>
      <x:c r="R52" s="66" t="b">
        <x:v>1</x:v>
      </x:c>
      <x:c r="S52" s="66" t="b">
        <x:v>1</x:v>
      </x:c>
      <x:c r="T52" s="65" t="str">
        <x:v>PASS</x:v>
      </x:c>
      <x:c r="U52" s="65" t="str">
        <x:v>All deterministic checks passed.</x:v>
      </x:c>
    </x:row>
    <x:row r="53" ht="90" customHeight="1">
      <x:c r="A53" s="65" t="str">
        <x:v>LG09</x:v>
      </x:c>
      <x:c r="B53" s="65" t="str">
        <x:v>Logic</x:v>
      </x:c>
      <x:c r="C53" s="65" t="str">
        <x:v>Hard</x:v>
      </x:c>
      <x:c r="D53" s="65" t="str">
        <x:v>聯電112至114年度的營業毛利率是否逐年下降？</x:v>
      </x:c>
      <x:c r="E53" s="65" t="str">
        <x:v>Did UMC's gross profit margin decrease every year from 2023 to 2025?</x:v>
      </x:c>
      <x:c r="F53" s="65" t="str">
        <x:v>## 簡明綜合損益表
| 項目 | 112年 | 113年 | 114年 |
| :--- | ---: | ---: | ---: |
| 營業毛利（毛損） | 77,743,838 | 75,654,080 | 68,906,499 |
| 營業收入 | 222,533,000 | 232,302,584 | 237,553,199 |
來源單位：新臺幣仟元</x:v>
      </x:c>
      <x:c r="G53" s="65" t="str">
        <x:v>def solution():
    gross_profit_by_year = {
        2023: 77743838,
        2024: 75654080,
        2025: 68906499,
    }
    operating_revenue_by_year = {
        2023: 222533000,
        2024: 232302584,
        2025: 237553199,
    }
    gross_margin_by_year = {year: gross_profit_by_year[year] / operating_revenue_by_year[year] for year in gross_profit_by_year}
    ordered_margins = [gross_margin_by_year[year] for year in sorted(gross_margin_by_year)]
    is_decreasing = all(a &gt; b for a, b in zip(ordered_margins, ordered_margins[1:]))
    return 'Yes' if is_decreasing else 'No'</x:v>
      </x:c>
      <x:c r="H53" s="67" t="str">
        <x:v>Yes</x:v>
      </x:c>
      <x:c r="I53" s="65" t="str">
        <x:v>是</x:v>
      </x:c>
      <x:c r="J53" s="65" t="str">
        <x:v>Yes/No</x:v>
      </x:c>
      <x:c r="K53" s="65" t="str">
        <x:v>UMC_2023_gross_profit; UMC_2024_gross_profit; UMC_2025_gross_profit; UMC_2023_operating_revenue; UMC_2024_operating_revenue; UMC_2025_operating_revenue</x:v>
      </x:c>
      <x:c r="L53" s="67" t="str">
        <x:v>Yes</x:v>
      </x:c>
      <x:c r="M53" s="66" t="b">
        <x:v>1</x:v>
      </x:c>
      <x:c r="N53" s="66" t="b">
        <x:v>1</x:v>
      </x:c>
      <x:c r="O53" s="66" t="b">
        <x:v>1</x:v>
      </x:c>
      <x:c r="P53" s="66" t="b">
        <x:v>1</x:v>
      </x:c>
      <x:c r="Q53" s="66" t="b">
        <x:v>1</x:v>
      </x:c>
      <x:c r="R53" s="66" t="b">
        <x:v>1</x:v>
      </x:c>
      <x:c r="S53" s="66" t="b">
        <x:v>1</x:v>
      </x:c>
      <x:c r="T53" s="65" t="str">
        <x:v>PASS</x:v>
      </x:c>
      <x:c r="U53" s="65" t="str">
        <x:v>All deterministic checks passed.</x:v>
      </x:c>
    </x:row>
    <x:row r="54" ht="90" customHeight="1">
      <x:c r="A54" s="65" t="str">
        <x:v>LG10</x:v>
      </x:c>
      <x:c r="B54" s="65" t="str">
        <x:v>Logic</x:v>
      </x:c>
      <x:c r="C54" s="65" t="str">
        <x:v>Hard</x:v>
      </x:c>
      <x:c r="D54" s="65" t="str">
        <x:v>聯電114年的資產總計是否等於負債總計加上權益總計？</x:v>
      </x:c>
      <x:c r="E54" s="65" t="str">
        <x:v>Did UMC's total assets equal total liabilities plus total equity in 2025?</x:v>
      </x:c>
      <x:c r="F54" s="65" t="str">
        <x:v>## 簡明資產負債表
| 項目 | 114年 |
| :--- | ---: |
| 資產總計 | 578,996,009 |
| 負債總計 | 199,140,569 |
| 權益總計 | 379,855,440 |
來源單位：新臺幣仟元</x:v>
      </x:c>
      <x:c r="G54" s="65" t="str">
        <x:v>def solution():
    total_assets_2025 = 578996009
    total_liabilities_2025 = 199140569
    total_equity_2025 = 379855440
    return 'Yes' if total_assets_2025 == total_liabilities_2025 + total_equity_2025 else 'No'</x:v>
      </x:c>
      <x:c r="H54" s="67" t="str">
        <x:v>Yes</x:v>
      </x:c>
      <x:c r="I54" s="65" t="str">
        <x:v>是</x:v>
      </x:c>
      <x:c r="J54" s="65" t="str">
        <x:v>Yes/No</x:v>
      </x:c>
      <x:c r="K54" s="65" t="str">
        <x:v>UMC_2025_total_assets; UMC_2025_total_liabilities; UMC_2025_total_equity</x:v>
      </x:c>
      <x:c r="L54" s="67" t="str">
        <x:v>Yes</x:v>
      </x:c>
      <x:c r="M54" s="66" t="b">
        <x:v>1</x:v>
      </x:c>
      <x:c r="N54" s="66" t="b">
        <x:v>1</x:v>
      </x:c>
      <x:c r="O54" s="66" t="b">
        <x:v>1</x:v>
      </x:c>
      <x:c r="P54" s="66" t="b">
        <x:v>1</x:v>
      </x:c>
      <x:c r="Q54" s="66" t="b">
        <x:v>1</x:v>
      </x:c>
      <x:c r="R54" s="66" t="b">
        <x:v>1</x:v>
      </x:c>
      <x:c r="S54" s="66" t="b">
        <x:v>1</x:v>
      </x:c>
      <x:c r="T54" s="65" t="str">
        <x:v>PASS</x:v>
      </x:c>
      <x:c r="U54" s="65" t="str">
        <x:v>All deterministic checks passed.</x:v>
      </x:c>
    </x:row>
    <x:row r="55" ht="90" customHeight="1">
      <x:c r="A55" s="65" t="str">
        <x:v>AR01</x:v>
      </x:c>
      <x:c r="B55" s="65" t="str">
        <x:v>Arithmetic</x:v>
      </x:c>
      <x:c r="C55" s="65" t="str">
        <x:v>Easy</x:v>
      </x:c>
      <x:c r="D55" s="65" t="str">
        <x:v>聯電114年的流動資產與非流動資產合計為多少？</x:v>
      </x:c>
      <x:c r="E55" s="65" t="str">
        <x:v>What was the sum of UMC's current and non-current assets in 2025?</x:v>
      </x:c>
      <x:c r="F55" s="65" t="str">
        <x:v>## 簡明資產負債表
| 項目 | 114年 |
| :--- | ---: |
| 流動資產 | 204,783,258 |
| 非流動資產 | 374,212,751 |
來源單位：新臺幣仟元</x:v>
      </x:c>
      <x:c r="G55" s="65" t="str">
        <x:v>def solution():
    current_assets_2025 = 204783258
    non_current_assets_2025 = 374212751
    result = current_assets_2025 + non_current_assets_2025
    return result</x:v>
      </x:c>
      <x:c r="H55" s="67" t="n">
        <x:v>578996009</x:v>
      </x:c>
      <x:c r="I55" s="65" t="str">
        <x:v>578,996,009</x:v>
      </x:c>
      <x:c r="J55" s="65" t="str">
        <x:v>新臺幣仟元</x:v>
      </x:c>
      <x:c r="K55" s="65" t="str">
        <x:v>UMC_2025_current_assets; UMC_2025_non_current_assets</x:v>
      </x:c>
      <x:c r="L55" s="67" t="n">
        <x:v>578996009</x:v>
      </x:c>
      <x:c r="M55" s="66" t="b">
        <x:v>1</x:v>
      </x:c>
      <x:c r="N55" s="66" t="b">
        <x:v>1</x:v>
      </x:c>
      <x:c r="O55" s="66" t="b">
        <x:v>1</x:v>
      </x:c>
      <x:c r="P55" s="66" t="b">
        <x:v>1</x:v>
      </x:c>
      <x:c r="Q55" s="66" t="b">
        <x:v>1</x:v>
      </x:c>
      <x:c r="R55" s="66" t="b">
        <x:v>1</x:v>
      </x:c>
      <x:c r="S55" s="66" t="b">
        <x:v>1</x:v>
      </x:c>
      <x:c r="T55" s="65" t="str">
        <x:v>PASS</x:v>
      </x:c>
      <x:c r="U55" s="65" t="str">
        <x:v>All deterministic checks passed.</x:v>
      </x:c>
    </x:row>
    <x:row r="56" ht="90" customHeight="1">
      <x:c r="A56" s="65" t="str">
        <x:v>AR02</x:v>
      </x:c>
      <x:c r="B56" s="65" t="str">
        <x:v>Arithmetic</x:v>
      </x:c>
      <x:c r="C56" s="65" t="str">
        <x:v>Easy</x:v>
      </x:c>
      <x:c r="D56" s="65" t="str">
        <x:v>聯電113年的流動負債與非流動負債合計為多少？</x:v>
      </x:c>
      <x:c r="E56" s="65" t="str">
        <x:v>What was the sum of UMC's current and non-current liabilities in 2024?</x:v>
      </x:c>
      <x:c r="F56" s="65" t="str">
        <x:v>## 簡明資產負債表
| 項目 | 113年 |
| :--- | ---: |
| 流動負債 | 75,260,189 |
| 非流動負債 | 116,755,484 |
來源單位：新臺幣仟元</x:v>
      </x:c>
      <x:c r="G56" s="65" t="str">
        <x:v>def solution():
    current_liabilities_2024 = 75260189
    non_current_liabilities_2024 = 116755484
    result = current_liabilities_2024 + non_current_liabilities_2024
    return result</x:v>
      </x:c>
      <x:c r="H56" s="67" t="n">
        <x:v>192015673</x:v>
      </x:c>
      <x:c r="I56" s="65" t="str">
        <x:v>192,015,673</x:v>
      </x:c>
      <x:c r="J56" s="65" t="str">
        <x:v>新臺幣仟元</x:v>
      </x:c>
      <x:c r="K56" s="65" t="str">
        <x:v>UMC_2024_current_liabilities; UMC_2024_non_current_liabilities</x:v>
      </x:c>
      <x:c r="L56" s="67" t="n">
        <x:v>192015673</x:v>
      </x:c>
      <x:c r="M56" s="66" t="b">
        <x:v>1</x:v>
      </x:c>
      <x:c r="N56" s="66" t="b">
        <x:v>1</x:v>
      </x:c>
      <x:c r="O56" s="66" t="b">
        <x:v>1</x:v>
      </x:c>
      <x:c r="P56" s="66" t="b">
        <x:v>1</x:v>
      </x:c>
      <x:c r="Q56" s="66" t="b">
        <x:v>1</x:v>
      </x:c>
      <x:c r="R56" s="66" t="b">
        <x:v>1</x:v>
      </x:c>
      <x:c r="S56" s="66" t="b">
        <x:v>1</x:v>
      </x:c>
      <x:c r="T56" s="65" t="str">
        <x:v>PASS</x:v>
      </x:c>
      <x:c r="U56" s="65" t="str">
        <x:v>All deterministic checks passed.</x:v>
      </x:c>
    </x:row>
    <x:row r="57" ht="90" customHeight="1">
      <x:c r="A57" s="65" t="str">
        <x:v>AR03</x:v>
      </x:c>
      <x:c r="B57" s="65" t="str">
        <x:v>Arithmetic</x:v>
      </x:c>
      <x:c r="C57" s="65" t="str">
        <x:v>Easy</x:v>
      </x:c>
      <x:c r="D57" s="65" t="str">
        <x:v>聯電112年度稅前淨利減去所得稅費用後為多少？</x:v>
      </x:c>
      <x:c r="E57" s="65" t="str">
        <x:v>What was UMC's profit before tax minus income tax expense in 2023?</x:v>
      </x:c>
      <x:c r="F57" s="65" t="str">
        <x:v>## 簡明綜合損益表
| 項目 | 112年 |
| :--- | ---: |
| 稅前淨利（淨損） | 70,912,228 |
| 所得稅費用（利益） | 9,472,411 |
來源單位：新臺幣仟元</x:v>
      </x:c>
      <x:c r="G57" s="65" t="str">
        <x:v>def solution():
    profit_before_tax_2023 = 70912228
    income_tax_expense_2023 = 9472411
    result = profit_before_tax_2023 - income_tax_expense_2023
    return result</x:v>
      </x:c>
      <x:c r="H57" s="67" t="n">
        <x:v>61439817</x:v>
      </x:c>
      <x:c r="I57" s="65" t="str">
        <x:v>61,439,817</x:v>
      </x:c>
      <x:c r="J57" s="65" t="str">
        <x:v>新臺幣仟元</x:v>
      </x:c>
      <x:c r="K57" s="65" t="str">
        <x:v>UMC_2023_profit_before_tax; UMC_2023_income_tax_expense</x:v>
      </x:c>
      <x:c r="L57" s="67" t="n">
        <x:v>61439817</x:v>
      </x:c>
      <x:c r="M57" s="66" t="b">
        <x:v>1</x:v>
      </x:c>
      <x:c r="N57" s="66" t="b">
        <x:v>1</x:v>
      </x:c>
      <x:c r="O57" s="66" t="b">
        <x:v>1</x:v>
      </x:c>
      <x:c r="P57" s="66" t="b">
        <x:v>1</x:v>
      </x:c>
      <x:c r="Q57" s="66" t="b">
        <x:v>1</x:v>
      </x:c>
      <x:c r="R57" s="66" t="b">
        <x:v>1</x:v>
      </x:c>
      <x:c r="S57" s="66" t="b">
        <x:v>1</x:v>
      </x:c>
      <x:c r="T57" s="65" t="str">
        <x:v>PASS</x:v>
      </x:c>
      <x:c r="U57" s="65" t="str">
        <x:v>All deterministic checks passed.</x:v>
      </x:c>
    </x:row>
    <x:row r="58" ht="90" customHeight="1">
      <x:c r="A58" s="65" t="str">
        <x:v>AR04</x:v>
      </x:c>
      <x:c r="B58" s="65" t="str">
        <x:v>Arithmetic</x:v>
      </x:c>
      <x:c r="C58" s="65" t="str">
        <x:v>Medium</x:v>
      </x:c>
      <x:c r="D58" s="65" t="str">
        <x:v>聯電114年度營業收入減去營業成本後為多少？</x:v>
      </x:c>
      <x:c r="E58" s="65" t="str">
        <x:v>What was UMC's operating revenue minus operating cost in 2025?</x:v>
      </x:c>
      <x:c r="F58" s="65" t="str">
        <x:v>## 簡明綜合損益表
| 項目 | 114年 |
| :--- | ---: |
| 營業收入 | 237,553,199 |
| 營業成本 | 168,646,700 |
來源單位：新臺幣仟元</x:v>
      </x:c>
      <x:c r="G58" s="65" t="str">
        <x:v>def solution():
    operating_revenue_2025 = 237553199
    operating_cost_2025 = 168646700
    result = operating_revenue_2025 - operating_cost_2025
    return result</x:v>
      </x:c>
      <x:c r="H58" s="67" t="n">
        <x:v>68906499</x:v>
      </x:c>
      <x:c r="I58" s="65" t="str">
        <x:v>68,906,499</x:v>
      </x:c>
      <x:c r="J58" s="65" t="str">
        <x:v>新臺幣仟元</x:v>
      </x:c>
      <x:c r="K58" s="65" t="str">
        <x:v>UMC_2025_operating_revenue; UMC_2025_operating_cost</x:v>
      </x:c>
      <x:c r="L58" s="67" t="n">
        <x:v>68906499</x:v>
      </x:c>
      <x:c r="M58" s="66" t="b">
        <x:v>1</x:v>
      </x:c>
      <x:c r="N58" s="66" t="b">
        <x:v>1</x:v>
      </x:c>
      <x:c r="O58" s="66" t="b">
        <x:v>1</x:v>
      </x:c>
      <x:c r="P58" s="66" t="b">
        <x:v>1</x:v>
      </x:c>
      <x:c r="Q58" s="66" t="b">
        <x:v>1</x:v>
      </x:c>
      <x:c r="R58" s="66" t="b">
        <x:v>1</x:v>
      </x:c>
      <x:c r="S58" s="66" t="b">
        <x:v>1</x:v>
      </x:c>
      <x:c r="T58" s="65" t="str">
        <x:v>PASS</x:v>
      </x:c>
      <x:c r="U58" s="65" t="str">
        <x:v>All deterministic checks passed.</x:v>
      </x:c>
    </x:row>
    <x:row r="59" ht="90" customHeight="1">
      <x:c r="A59" s="65" t="str">
        <x:v>AR05</x:v>
      </x:c>
      <x:c r="B59" s="65" t="str">
        <x:v>Arithmetic</x:v>
      </x:c>
      <x:c r="C59" s="65" t="str">
        <x:v>Medium</x:v>
      </x:c>
      <x:c r="D59" s="65" t="str">
        <x:v>聯電112至114年度的平均營業收入為多少？</x:v>
      </x:c>
      <x:c r="E59" s="65" t="str">
        <x:v>What was UMC's average operating revenue from 2023 to 2025?</x:v>
      </x:c>
      <x:c r="F59" s="65" t="str">
        <x:v>## 簡明綜合損益表
| 項目 | 112年 | 113年 | 114年 |
| :--- | ---: | ---: | ---: |
| 營業收入 | 222,533,000 | 232,302,584 | 237,553,199 |
來源單位：新臺幣仟元</x:v>
      </x:c>
      <x:c r="G59" s="65" t="str">
        <x:v>def solution():
    operating_revenue_by_year = {
        2023: 222533000,
        2024: 232302584,
        2025: 237553199,
    }
    average_value = sum(operating_revenue_by_year.values()) / len(operating_revenue_by_year)
    return round(average_value, 2)</x:v>
      </x:c>
      <x:c r="H59" s="67" t="n">
        <x:v>230796261</x:v>
      </x:c>
      <x:c r="I59" s="65" t="str">
        <x:v>230,796,261</x:v>
      </x:c>
      <x:c r="J59" s="65" t="str">
        <x:v>新臺幣仟元</x:v>
      </x:c>
      <x:c r="K59" s="65" t="str">
        <x:v>UMC_2023_operating_revenue; UMC_2024_operating_revenue; UMC_2025_operating_revenue</x:v>
      </x:c>
      <x:c r="L59" s="67" t="n">
        <x:v>230796261</x:v>
      </x:c>
      <x:c r="M59" s="66" t="b">
        <x:v>1</x:v>
      </x:c>
      <x:c r="N59" s="66" t="b">
        <x:v>1</x:v>
      </x:c>
      <x:c r="O59" s="66" t="b">
        <x:v>1</x:v>
      </x:c>
      <x:c r="P59" s="66" t="b">
        <x:v>1</x:v>
      </x:c>
      <x:c r="Q59" s="66" t="b">
        <x:v>1</x:v>
      </x:c>
      <x:c r="R59" s="66" t="b">
        <x:v>1</x:v>
      </x:c>
      <x:c r="S59" s="66" t="b">
        <x:v>1</x:v>
      </x:c>
      <x:c r="T59" s="65" t="str">
        <x:v>PASS</x:v>
      </x:c>
      <x:c r="U59" s="65" t="str">
        <x:v>All deterministic checks passed.</x:v>
      </x:c>
    </x:row>
    <x:row r="60" ht="90" customHeight="1">
      <x:c r="A60" s="65" t="str">
        <x:v>AR06</x:v>
      </x:c>
      <x:c r="B60" s="65" t="str">
        <x:v>Arithmetic</x:v>
      </x:c>
      <x:c r="C60" s="65" t="str">
        <x:v>Medium</x:v>
      </x:c>
      <x:c r="D60" s="65" t="str">
        <x:v>聯電112至114年度的基本每股盈餘合計為多少？</x:v>
      </x:c>
      <x:c r="E60" s="65" t="str">
        <x:v>What was the sum of UMC's basic earnings per share from 2023 to 2025?</x:v>
      </x:c>
      <x:c r="F60" s="65" t="str">
        <x:v>## 簡明綜合損益表
| 項目 | 112年 | 113年 | 114年 |
| :--- | ---: | ---: | ---: |
| 基本每股盈餘（元） | 4.93 | 3.8 | 3.34 |
來源單位：元</x:v>
      </x:c>
      <x:c r="G60" s="65" t="str">
        <x:v>def solution():
    basic_eps_by_year = {
        2023: 4.93,
        2024: 3.8,
        2025: 3.34,
    }
    total = sum(basic_eps_by_year.values())
    return round(total, 2)</x:v>
      </x:c>
      <x:c r="H60" s="67" t="n">
        <x:v>12.07</x:v>
      </x:c>
      <x:c r="I60" s="65" t="str">
        <x:v>12.07</x:v>
      </x:c>
      <x:c r="J60" s="65" t="str">
        <x:v>元</x:v>
      </x:c>
      <x:c r="K60" s="65" t="str">
        <x:v>UMC_2023_basic_eps; UMC_2024_basic_eps; UMC_2025_basic_eps</x:v>
      </x:c>
      <x:c r="L60" s="67" t="n">
        <x:v>12.07</x:v>
      </x:c>
      <x:c r="M60" s="66" t="b">
        <x:v>1</x:v>
      </x:c>
      <x:c r="N60" s="66" t="b">
        <x:v>1</x:v>
      </x:c>
      <x:c r="O60" s="66" t="b">
        <x:v>1</x:v>
      </x:c>
      <x:c r="P60" s="66" t="b">
        <x:v>1</x:v>
      </x:c>
      <x:c r="Q60" s="66" t="b">
        <x:v>1</x:v>
      </x:c>
      <x:c r="R60" s="66" t="b">
        <x:v>1</x:v>
      </x:c>
      <x:c r="S60" s="66" t="b">
        <x:v>1</x:v>
      </x:c>
      <x:c r="T60" s="65" t="str">
        <x:v>PASS</x:v>
      </x:c>
      <x:c r="U60" s="65" t="str">
        <x:v>All deterministic checks passed.</x:v>
      </x:c>
    </x:row>
    <x:row r="61" ht="90" customHeight="1">
      <x:c r="A61" s="65" t="str">
        <x:v>AR07</x:v>
      </x:c>
      <x:c r="B61" s="65" t="str">
        <x:v>Arithmetic</x:v>
      </x:c>
      <x:c r="C61" s="65" t="str">
        <x:v>Medium</x:v>
      </x:c>
      <x:c r="D61" s="65" t="str">
        <x:v>聯電114年的資產總計減去負債總計後為多少？</x:v>
      </x:c>
      <x:c r="E61" s="65" t="str">
        <x:v>What was UMC's total assets minus total liabilities in 2025?</x:v>
      </x:c>
      <x:c r="F61" s="65" t="str">
        <x:v>## 簡明資產負債表
| 項目 | 114年 |
| :--- | ---: |
| 資產總計 | 578,996,009 |
| 負債總計 | 199,140,569 |
來源單位：新臺幣仟元</x:v>
      </x:c>
      <x:c r="G61" s="65" t="str">
        <x:v>def solution():
    total_assets_2025 = 578996009
    total_liabilities_2025 = 199140569
    result = total_assets_2025 - total_liabilities_2025
    return result</x:v>
      </x:c>
      <x:c r="H61" s="67" t="n">
        <x:v>379855440</x:v>
      </x:c>
      <x:c r="I61" s="65" t="str">
        <x:v>379,855,440</x:v>
      </x:c>
      <x:c r="J61" s="65" t="str">
        <x:v>新臺幣仟元</x:v>
      </x:c>
      <x:c r="K61" s="65" t="str">
        <x:v>UMC_2025_total_assets; UMC_2025_total_liabilities</x:v>
      </x:c>
      <x:c r="L61" s="67" t="n">
        <x:v>379855440</x:v>
      </x:c>
      <x:c r="M61" s="66" t="b">
        <x:v>1</x:v>
      </x:c>
      <x:c r="N61" s="66" t="b">
        <x:v>1</x:v>
      </x:c>
      <x:c r="O61" s="66" t="b">
        <x:v>1</x:v>
      </x:c>
      <x:c r="P61" s="66" t="b">
        <x:v>1</x:v>
      </x:c>
      <x:c r="Q61" s="66" t="b">
        <x:v>1</x:v>
      </x:c>
      <x:c r="R61" s="66" t="b">
        <x:v>1</x:v>
      </x:c>
      <x:c r="S61" s="66" t="b">
        <x:v>1</x:v>
      </x:c>
      <x:c r="T61" s="65" t="str">
        <x:v>PASS</x:v>
      </x:c>
      <x:c r="U61" s="65" t="str">
        <x:v>All deterministic checks passed.</x:v>
      </x:c>
    </x:row>
    <x:row r="62" ht="90" customHeight="1">
      <x:c r="A62" s="65" t="str">
        <x:v>AR08</x:v>
      </x:c>
      <x:c r="B62" s="65" t="str">
        <x:v>Arithmetic</x:v>
      </x:c>
      <x:c r="C62" s="65" t="str">
        <x:v>Hard</x:v>
      </x:c>
      <x:c r="D62" s="65" t="str">
        <x:v>聯電113年歸屬於母公司業主之權益合計與非控制權益相加為多少？</x:v>
      </x:c>
      <x:c r="E62" s="65" t="str">
        <x:v>What was the sum of UMC's equity attributable to owners of the parent and non-controlling interests in 2024?</x:v>
      </x:c>
      <x:c r="F62" s="65" t="str">
        <x:v>## 簡明資產負債表
| 項目 | 113年 |
| :--- | ---: |
| 歸屬於母公司業主之權益合計 | 377,928,391 |
| 非控制權益 | 256,613 |
來源單位：新臺幣仟元</x:v>
      </x:c>
      <x:c r="G62" s="65" t="str">
        <x:v>def solution():
    equity_attributable_to_parent_2024 = 377928391
    non_controlling_interests_2024 = 256613
    result = equity_attributable_to_parent_2024 + non_controlling_interests_2024
    return result</x:v>
      </x:c>
      <x:c r="H62" s="67" t="n">
        <x:v>378185004</x:v>
      </x:c>
      <x:c r="I62" s="65" t="str">
        <x:v>378,185,004</x:v>
      </x:c>
      <x:c r="J62" s="65" t="str">
        <x:v>新臺幣仟元</x:v>
      </x:c>
      <x:c r="K62" s="65" t="str">
        <x:v>UMC_2024_equity_parent; UMC_2024_nci_equity</x:v>
      </x:c>
      <x:c r="L62" s="67" t="n">
        <x:v>378185004</x:v>
      </x:c>
      <x:c r="M62" s="66" t="b">
        <x:v>1</x:v>
      </x:c>
      <x:c r="N62" s="66" t="b">
        <x:v>1</x:v>
      </x:c>
      <x:c r="O62" s="66" t="b">
        <x:v>1</x:v>
      </x:c>
      <x:c r="P62" s="66" t="b">
        <x:v>1</x:v>
      </x:c>
      <x:c r="Q62" s="66" t="b">
        <x:v>1</x:v>
      </x:c>
      <x:c r="R62" s="66" t="b">
        <x:v>1</x:v>
      </x:c>
      <x:c r="S62" s="66" t="b">
        <x:v>1</x:v>
      </x:c>
      <x:c r="T62" s="65" t="str">
        <x:v>PASS</x:v>
      </x:c>
      <x:c r="U62" s="65" t="str">
        <x:v>All deterministic checks passed.</x:v>
      </x:c>
    </x:row>
    <x:row r="63" ht="90" customHeight="1">
      <x:c r="A63" s="65" t="str">
        <x:v>AR09</x:v>
      </x:c>
      <x:c r="B63" s="65" t="str">
        <x:v>Arithmetic</x:v>
      </x:c>
      <x:c r="C63" s="65" t="str">
        <x:v>Hard</x:v>
      </x:c>
      <x:c r="D63" s="65" t="str">
        <x:v>聯電114年度本期淨利與其他綜合損益淨額相加為多少？</x:v>
      </x:c>
      <x:c r="E63" s="65" t="str">
        <x:v>What was the sum of UMC's net profit and net other comprehensive income in 2025?</x:v>
      </x:c>
      <x:c r="F63" s="65" t="str">
        <x:v>## 簡明綜合損益表
| 項目 | 114年 |
| :--- | ---: |
| 本期淨利（淨損） | 41,534,748 |
| 其他綜合損益（淨額） | -4,859,711 |
來源單位：新臺幣仟元</x:v>
      </x:c>
      <x:c r="G63" s="65" t="str">
        <x:v>def solution():
    net_profit_2025 = 41534748
    net_other_comprehensive_income_2025 = -4859711
    result = net_profit_2025 + net_other_comprehensive_income_2025
    return result</x:v>
      </x:c>
      <x:c r="H63" s="67" t="n">
        <x:v>36675037</x:v>
      </x:c>
      <x:c r="I63" s="65" t="str">
        <x:v>36,675,037</x:v>
      </x:c>
      <x:c r="J63" s="65" t="str">
        <x:v>新臺幣仟元</x:v>
      </x:c>
      <x:c r="K63" s="65" t="str">
        <x:v>UMC_2025_net_profit; UMC_2025_other_comprehensive_income</x:v>
      </x:c>
      <x:c r="L63" s="67" t="n">
        <x:v>36675037</x:v>
      </x:c>
      <x:c r="M63" s="66" t="b">
        <x:v>1</x:v>
      </x:c>
      <x:c r="N63" s="66" t="b">
        <x:v>1</x:v>
      </x:c>
      <x:c r="O63" s="66" t="b">
        <x:v>1</x:v>
      </x:c>
      <x:c r="P63" s="66" t="b">
        <x:v>1</x:v>
      </x:c>
      <x:c r="Q63" s="66" t="b">
        <x:v>1</x:v>
      </x:c>
      <x:c r="R63" s="66" t="b">
        <x:v>1</x:v>
      </x:c>
      <x:c r="S63" s="66" t="b">
        <x:v>1</x:v>
      </x:c>
      <x:c r="T63" s="65" t="str">
        <x:v>PASS</x:v>
      </x:c>
      <x:c r="U63" s="65" t="str">
        <x:v>All deterministic checks passed.</x:v>
      </x:c>
    </x:row>
    <x:row r="64" ht="90" customHeight="1">
      <x:c r="A64" s="65" t="str">
        <x:v>AR10</x:v>
      </x:c>
      <x:c r="B64" s="65" t="str">
        <x:v>Arithmetic</x:v>
      </x:c>
      <x:c r="C64" s="65" t="str">
        <x:v>Hard</x:v>
      </x:c>
      <x:c r="D64" s="65" t="str">
        <x:v>聯電112年度營業利益比114年度高多少？</x:v>
      </x:c>
      <x:c r="E64" s="65" t="str">
        <x:v>By how much was UMC's operating income in 2023 higher than in 2025?</x:v>
      </x:c>
      <x:c r="F64" s="65" t="str">
        <x:v>## 簡明綜合損益表
| 項目 | 112年 | 114年 |
| :--- | ---: | ---: |
| 營業利益（損失） | 57,890,661 | 43,948,688 |
來源單位：新臺幣仟元</x:v>
      </x:c>
      <x:c r="G64" s="65" t="str">
        <x:v>def solution():
    operating_income_2023 = 57890661
    operating_income_2025 = 43948688
    difference = operating_income_2023 - operating_income_2025
    return difference</x:v>
      </x:c>
      <x:c r="H64" s="67" t="n">
        <x:v>13941973</x:v>
      </x:c>
      <x:c r="I64" s="65" t="str">
        <x:v>13,941,973</x:v>
      </x:c>
      <x:c r="J64" s="65" t="str">
        <x:v>新臺幣仟元</x:v>
      </x:c>
      <x:c r="K64" s="65" t="str">
        <x:v>UMC_2023_operating_income; UMC_2025_operating_income</x:v>
      </x:c>
      <x:c r="L64" s="67" t="n">
        <x:v>13941973</x:v>
      </x:c>
      <x:c r="M64" s="66" t="b">
        <x:v>1</x:v>
      </x:c>
      <x:c r="N64" s="66" t="b">
        <x:v>1</x:v>
      </x:c>
      <x:c r="O64" s="66" t="b">
        <x:v>1</x:v>
      </x:c>
      <x:c r="P64" s="66" t="b">
        <x:v>1</x:v>
      </x:c>
      <x:c r="Q64" s="66" t="b">
        <x:v>1</x:v>
      </x:c>
      <x:c r="R64" s="66" t="b">
        <x:v>1</x:v>
      </x:c>
      <x:c r="S64" s="66" t="b">
        <x:v>1</x:v>
      </x:c>
      <x:c r="T64" s="65" t="str">
        <x:v>PASS</x:v>
      </x:c>
      <x:c r="U64" s="65" t="str">
        <x:v>All deterministic checks passed.</x:v>
      </x:c>
    </x:row>
  </x:sheetData>
  <x:mergeCells>
    <x:mergeCell ref="A1:U1"/>
    <x:mergeCell ref="A2:U2"/>
  </x:mergeCells>
  <x:conditionalFormatting sqref="T5:T64">
    <x:cfRule type="expression" dxfId="2" priority="1">
      <x:formula>T5="PASS"</x:formula>
    </x:cfRule>
    <x:cfRule type="expression" dxfId="3" priority="2">
      <x:formula>T5="FAIL"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5419684cbf403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20" hidden="0" customWidth="1"/>
    <x:col min="5" max="5" width="14" hidden="0" customWidth="1"/>
    <x:col min="6" max="6" width="14" hidden="0" customWidth="1"/>
  </x:cols>
  <x:sheetData>
    <x:row r="1" ht="26" customHeight="1">
      <x:c r="A1" s="50" t="str">
        <x:v>Gold Dataset v2 — Validation Summary</x:v>
      </x:c>
      <x:c r="B1" s="50"/>
      <x:c r="C1" s="50"/>
      <x:c r="D1" s="50"/>
      <x:c r="E1" s="50"/>
      <x:c r="F1" s="50"/>
    </x:row>
    <x:row r="2" ht="30" customHeight="1">
      <x:c r="A2" s="54" t="str">
        <x:v>此頁彙整 60 題 Gold Annotation 的 deterministic validation 結果。</x:v>
      </x:c>
      <x:c r="B2" s="54"/>
      <x:c r="C2" s="54"/>
      <x:c r="D2" s="54"/>
      <x:c r="E2" s="54"/>
      <x:c r="F2" s="54"/>
    </x:row>
    <x:row r="4">
      <x:c r="A4" s="59" t="str">
        <x:v>KPI</x:v>
      </x:c>
      <x:c r="B4" s="59" t="str">
        <x:v>Value</x:v>
      </x:c>
      <x:c r="D4" s="59" t="str">
        <x:v>Question_Type</x:v>
      </x:c>
      <x:c r="E4" s="59" t="str">
        <x:v>Count</x:v>
      </x:c>
      <x:c r="F4" s="59" t="str">
        <x:v>Expected</x:v>
      </x:c>
    </x:row>
    <x:row r="5">
      <x:c r="A5" t="str">
        <x:v>Total Questions</x:v>
      </x:c>
      <x:c r="B5" t="n">
        <x:f>COUNTA('06_Gold_Annotations'!A5:A64)</x:f>
        <x:v>60</x:v>
      </x:c>
      <x:c r="D5" t="str">
        <x:v>Single-Fact</x:v>
      </x:c>
      <x:c r="E5" t="n">
        <x:f>COUNTIF('06_Gold_Annotations'!B5:B64,"Single-Fact")</x:f>
        <x:v>10</x:v>
      </x:c>
      <x:c r="F5" t="n">
        <x:v>10</x:v>
      </x:c>
    </x:row>
    <x:row r="6">
      <x:c r="A6" t="str">
        <x:v>Validation PASS</x:v>
      </x:c>
      <x:c r="B6" t="n">
        <x:f>COUNTIF('06_Gold_Annotations'!T5:T64,"PASS")</x:f>
        <x:v>60</x:v>
      </x:c>
      <x:c r="D6" t="str">
        <x:v>Comparison</x:v>
      </x:c>
      <x:c r="E6" t="n">
        <x:f>COUNTIF('06_Gold_Annotations'!B5:B64,"Comparison")</x:f>
        <x:v>10</x:v>
      </x:c>
      <x:c r="F6" t="n">
        <x:v>10</x:v>
      </x:c>
    </x:row>
    <x:row r="7">
      <x:c r="A7" t="str">
        <x:v>Validation FAIL</x:v>
      </x:c>
      <x:c r="B7" t="n">
        <x:f>COUNTIF('06_Gold_Annotations'!T5:T64,"FAIL")</x:f>
        <x:v>0</x:v>
      </x:c>
      <x:c r="D7" t="str">
        <x:v>Growth_Rate</x:v>
      </x:c>
      <x:c r="E7" t="n">
        <x:f>COUNTIF('06_Gold_Annotations'!B5:B64,"Growth_Rate")</x:f>
        <x:v>10</x:v>
      </x:c>
      <x:c r="F7" t="n">
        <x:v>10</x:v>
      </x:c>
    </x:row>
    <x:row r="8">
      <x:c r="A8" t="str">
        <x:v>Pass Rate</x:v>
      </x:c>
      <x:c r="B8" s="68" t="n">
        <x:f>IF(B5=0,0,B6/B5)</x:f>
        <x:v>1</x:v>
      </x:c>
      <x:c r="D8" t="str">
        <x:v>Ratio</x:v>
      </x:c>
      <x:c r="E8" t="n">
        <x:f>COUNTIF('06_Gold_Annotations'!B5:B64,"Ratio")</x:f>
        <x:v>10</x:v>
      </x:c>
      <x:c r="F8" t="n">
        <x:v>10</x:v>
      </x:c>
    </x:row>
    <x:row r="9">
      <x:c r="D9" t="str">
        <x:v>Logic</x:v>
      </x:c>
      <x:c r="E9" t="n">
        <x:f>COUNTIF('06_Gold_Annotations'!B5:B64,"Logic")</x:f>
        <x:v>10</x:v>
      </x:c>
      <x:c r="F9" t="n">
        <x:v>10</x:v>
      </x:c>
    </x:row>
    <x:row r="10">
      <x:c r="A10" s="69"/>
      <x:c r="B10" s="69"/>
      <x:c r="C10" s="69"/>
      <x:c r="D10" s="69" t="str">
        <x:v>Arithmetic</x:v>
      </x:c>
      <x:c r="E10" s="69" t="n">
        <x:f>COUNTIF('06_Gold_Annotations'!B5:B64,"Arithmetic")</x:f>
        <x:v>10</x:v>
      </x:c>
      <x:c r="F10" s="69" t="n">
        <x:v>10</x:v>
      </x:c>
    </x:row>
    <x:row r="12">
      <x:c r="A12" s="59" t="str">
        <x:v>Validation Check</x:v>
      </x:c>
      <x:c r="B12" s="59" t="str">
        <x:v>PASS Count</x:v>
      </x:c>
      <x:c r="C12" s="59" t="str">
        <x:v>Expected</x:v>
      </x:c>
      <x:c r="D12" s="59" t="str">
        <x:v>Status</x:v>
      </x:c>
      <x:c r="E12"/>
      <x:c r="F12"/>
    </x:row>
    <x:row r="13">
      <x:c r="A13" t="str">
        <x:v>Python Execution</x:v>
      </x:c>
      <x:c r="B13" t="n">
        <x:f>COUNTIF('06_Gold_Annotations'!R5:R64,1)</x:f>
        <x:v>60</x:v>
      </x:c>
      <x:c r="C13" t="n">
        <x:v>60</x:v>
      </x:c>
      <x:c r="D13" t="str">
        <x:f>IF(B13=C13,"PASS","CHECK")</x:f>
        <x:v>PASS</x:v>
      </x:c>
      <x:c r="E13"/>
      <x:c r="F13"/>
    </x:row>
    <x:row r="14">
      <x:c r="A14" t="str">
        <x:v>Answer Match</x:v>
      </x:c>
      <x:c r="B14" t="n">
        <x:f>COUNTIF('06_Gold_Annotations'!S5:S64,1)</x:f>
        <x:v>60</x:v>
      </x:c>
      <x:c r="C14" t="n">
        <x:v>60</x:v>
      </x:c>
      <x:c r="D14" t="str">
        <x:f>IF(B14=C14,"PASS","CHECK")</x:f>
        <x:v>PASS</x:v>
      </x:c>
      <x:c r="E14"/>
      <x:c r="F14"/>
    </x:row>
    <x:row r="15">
      <x:c r="A15" t="str">
        <x:v>Golden Context</x:v>
      </x:c>
      <x:c r="B15" t="n">
        <x:f>COUNTIF('06_Gold_Annotations'!Q5:Q64,1)</x:f>
        <x:v>60</x:v>
      </x:c>
      <x:c r="C15" t="n">
        <x:v>60</x:v>
      </x:c>
      <x:c r="D15" t="str">
        <x:f>IF(B15=C15,"PASS","CHECK")</x:f>
        <x:v>PASS</x:v>
      </x:c>
      <x:c r="E15"/>
      <x:c r="F15"/>
    </x:row>
  </x:sheetData>
  <x:mergeCells>
    <x:mergeCell ref="A1:F1"/>
    <x:mergeCell ref="A2:F2"/>
  </x:mergeCells>
  <x:conditionalFormatting sqref="D13:D15">
    <x:cfRule type="expression" dxfId="4" priority="1">
      <x:formula>D13="PASS"</x:formula>
    </x:cfRule>
    <x:cfRule type="expression" dxfId="5" priority="2">
      <x:formula>D13="CHECK"</x:formula>
    </x:cfRule>
  </x:conditionalFormatting>
  <x:pageMargins left="0.7" right="0.7" top="0.75" bottom="0.75" header="0.3" footer="0.3"/>
</x:worksheet>
</file>